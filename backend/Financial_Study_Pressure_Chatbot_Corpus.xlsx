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worksheets/sheet3.xml" ContentType="application/vnd.openxmlformats-officedocument.spreadsheetml.worksheet+xml"/>
  <Override PartName="/xl/theme/theme1.xml" ContentType="application/vnd.openxmlformats-officedocument.theme+xml"/>
  <Override PartName="/docProps/app.xml" ContentType="application/vnd.openxmlformats-officedocument.extended-properties+xml"/>
  <Override PartName="/xl/worksheets/sheet2.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workbookProtection/>
  <bookViews>
    <workbookView xWindow="360" yWindow="15" windowWidth="20955" windowHeight="9720" activeTab="0" showHorizontalScroll="1" showVerticalScroll="1"/>
  </bookViews>
  <sheets>
    <sheet name="QA Corpus" sheetId="1" state="visible" r:id="rId1"/>
    <sheet name="Sources &amp; References" sheetId="2" state="visible" r:id="rId2"/>
    <sheet name="Statistics" sheetId="3" state="visible" r:id="rId3"/>
  </sheets>
  <calcPr fullCalcOnLoad="1"/>
  <extLst>
    <ext xmlns:x15="http://schemas.microsoft.com/office/spreadsheetml/2010/11/main" uri="{D0CA8CA8-9F24-4464-BF8E-62219DCF47F9}"/>
  </extLst>
</workbook>
</file>

<file path=xl/sharedStrings.xml><?xml version="1.0" encoding="utf-8"?>
<sst xmlns="http://schemas.openxmlformats.org/spreadsheetml/2006/main" count="226" uniqueCount="226">
  <si>
    <t xml:space="preserve">CHATBOT CORPUS: Financial Study Pressure — 40 Q&amp;A Pairs</t>
  </si>
  <si>
    <t xml:space="preserve">Cloud Computing Project | Topic: Financial Study Pressure | 40 Questions with Detailed Answers &amp; Sources</t>
  </si>
  <si>
    <t>#</t>
  </si>
  <si>
    <t>Category</t>
  </si>
  <si>
    <t>Question</t>
  </si>
  <si>
    <t xml:space="preserve">Detailed Answer</t>
  </si>
  <si>
    <t xml:space="preserve">Key Points (Summary)</t>
  </si>
  <si>
    <t xml:space="preserve">Source / URL</t>
  </si>
  <si>
    <t xml:space="preserve">▌  UNDERSTANDING FINANCIAL STUDY PRESSURE</t>
  </si>
  <si>
    <t xml:space="preserve">Understanding Financial Study Pressure</t>
  </si>
  <si>
    <t xml:space="preserve">How prevalent is financial stress among university students globally?</t>
  </si>
  <si>
    <t xml:space="preserve">Financial stress is a major issue in higher education around the world. A 2024 survey by Ellucian of 1,500 U.S. college students found that 59% had thought about dropping out because of financial stress. Almost 80% said their mental health suffered due to money worries. Data from Gallup and the Lumina Foundation (2023) indicated that 66% of students feel stressed, and 51% feel worried mainly because of their finances. The Hope Center for College, Community, and Justice (2021) found that 3 in 5 U.S. students face basic-need insecurity, which means they struggle to pay for food, housing, or both. A 2023 study of 1,272 Lebanese university students published in BMC Public Health confirmed that financial stress significantly affects well-being and mental health. Research in developing countries shows an even higher rate of issues, as government funding, scholarships, and job opportunities are scarcer. The COVID-19 pandemic made things worse by causing economic disruption on top of existing tuition-related pressures.</t>
  </si>
  <si>
    <t xml:space="preserve">- 59% of U.S. students considered dropping out (Ellucian 2024)
- 80% report mental health impact from finances
- 3 in 5 students face basic-need insecurity (Hope Center 2021)
- Global issue; worse in developing economies</t>
  </si>
  <si>
    <t xml:space="preserve">Ellucian 2024 Survey: https://www.ellucian.com/newsroom/national-survey-reveals-59-college-students-considered-dropping-out-due-financial-stress | BMC Public Health: https://www.ncbi.nlm.nih.gov/pmc/articles/PMC11227159/</t>
  </si>
  <si>
    <t xml:space="preserve">What are the primary sources of financial stress for students?</t>
  </si>
  <si>
    <t xml:space="preserve">The main sources of financial stress for students fall into several overlapping categories: (1) Tuition and fees, which is the most cited stressor; 61% of students in a College Ave survey said college was more expensive than they expected. (2) Living expenses, including rent, utilities, food, and transportation, are especially challenging for students living off campus. (3) Student loan debt, where the average debt for 2023 U.S. graduates was about $37,650, with national student loan debt reaching $1.7 trillion across 45 million borrowers. (4) Lack of emergency funds, as unexpected costs like medical bills or car repairs can upset an already tight budget. (5) Part-time work obligations, since students who need to work long hours to pay for school often sacrifice study time and sleep. (6) Insufficient family support, where first-generation students and those from lower-income backgrounds often cannot depend on family financial help. (7) Cost of academic materials, where textbooks alone can cost hundreds of dollars each semester. (8) Food and housing insecurity, as the Hope Center found that 3 in 5 students lack reliable access to food or stable housing.</t>
  </si>
  <si>
    <t xml:space="preserve">- Tuition costs (61% said more expensive than expected)
- Student debt avg $37,650 for 2023 graduates
- Living costs: rent, food, transport
- Insufficient family/institutional support
- Academic material costs
- Food/housing insecurity</t>
  </si>
  <si>
    <t xml:space="preserve">College Ave Survey: https://www.collegeave.com/articles/financial-stress-in-college-students/ | EducationData.org: https://thecollegeinvestor.com/61182/why-one-third-of-college-students-drop-out-without-a-degree/</t>
  </si>
  <si>
    <t xml:space="preserve">Does financial stress differ between first-generation and non-first-generation students?</t>
  </si>
  <si>
    <t xml:space="preserve">Yes, significantly. First-generation students, those whose parents did not attend college, face a unique set of financial pressures. According to the 2024 Ellucian survey, 42% of respondents were first-generation students. Among them, 70% were adult learners balancing work and education. These students often have less family wealth, find it harder to navigate financial aid systems, and are less aware of scholarship opportunities. Studies show they are more likely to enroll in community colleges or for-profit institutions, which often have higher loan dependency rates. They are also less likely to have financial safety nets. Research published in university dropout reviews from 2020 to 2024 confirms that students from lower socioeconomic backgrounds face bigger challenges in covering educational costs. This leads to less effective use of scholarships and financial aid. The emotional burden is also significant. Many first-generation students feel a sense of responsibility not to fail their families, adding psychological pressure on top of the financial strain. Institutional support systems and culturally competent financial advising are especially important for this group.</t>
  </si>
  <si>
    <t xml:space="preserve">- 70% of first-gen students are working adult learners (Ellucian 2024)
- Less family wealth and financial safety nets
- Lower awareness of scholarships/financial aid
- Higher emotional burden (family responsibility)
- Need specialised institutional support</t>
  </si>
  <si>
    <t xml:space="preserve">Ellucian 2024: https://www.ellucian.com/newsroom/national-survey-reveals-59-college-students-considered-dropping-out-due-financial-stress | NCBI Dropout Systematic Review: https://www.ncbi.nlm.nih.gov/pmc/articles/PMC11561383/</t>
  </si>
  <si>
    <t xml:space="preserve">How does gender influence the experience of financial study pressure?</t>
  </si>
  <si>
    <t xml:space="preserve">The variable of gender has considerable significance in moderating the experience of financial academic stress. There have been a number of researches conducted in this respect, for example, the 2023 study published in BMC Public Health on financial study stress among Lebanese university students showed that females scored more on BDS-10 and PSS-10 – this means that financial pressure affects their psychological well-being worse than it does those of males. Gender is mentioned as a possible moderating variable in the relationship between financial stress and psychological consequences in the research described in IJRISS (2025). Some factors that contribute to this phenomenon can be listed as follows: women act more frequently as caregivers while studying, the existence of a gender pay gap means different expectations regarding return on educational investment, many women experience additional social pressure to become financially independent, and there is a statistical tendency for women to suffer more from such mental disorders as anxiety and depression (which, of course, will be exacerbated by financial stress). However, men do not escape from the problem – they tend to conceal the issues because of associated stigma.</t>
  </si>
  <si>
    <t xml:space="preserve">- Women score higher on distress and stress scales (BMC Public Health 2023)
- Women more likely to be caregivers alongside studies
- Gender pay gap shapes ROI expectations
- Male students face help-seeking stigma
- Need gender-sensitive financial counselling</t>
  </si>
  <si>
    <t xml:space="preserve">BMC Public Health (2024): https://www.ncbi.nlm.nih.gov/pmc/articles/PMC11227159/ | IJRISS (2025): https://rsisinternational.org/journals/ijriss/articles/the-effect-of-financial-stress-on-mental-health-among-univthe-effect-of-financial-stress-on-mental-health-among-university-students/</t>
  </si>
  <si>
    <t xml:space="preserve">▌  MENTAL HEALTH IMPACTS</t>
  </si>
  <si>
    <t xml:space="preserve">Mental Health Impacts</t>
  </si>
  <si>
    <t xml:space="preserve">What is the relationship between student debt and depression or anxiety?</t>
  </si>
  <si>
    <t xml:space="preserve">There is an evident and statistically reliable connection between student debt and mental illnesses such as depression and anxiety disorders. According to statistics, as much as 46% of people with financial problems have mental issues, which is evidence of the high correlation between being in debt and suffering from psychological problems (Grand Rising Behavioral Health, 2024). As for students, fear of future debt can be an important factor that leads to their suffering from anxiety before receiving student loans. Students think about money while awake and before going to sleep, which causes them to become overexcited and unable to relax (AIU Blog, 2025). There is research evidence supporting that financial problems of students adversely affect their studies, social lives, and increase their feeling of isolation. Debt is related to depression through various mechanisms including learned helplessness (a sense of inability to get rid of debts), constant worrying about the future, lower quality of life (skipping parties, food, healthcare services), and negative stigma in cultures where value of person correlates with financial success. Importantly, 44% of students report being stressed about the total amount of debt and 44% are stressed about having enough money for the current semester (Ellucian Blog, 2022).</t>
  </si>
  <si>
    <t xml:space="preserve">- 46% of debt-burdened individuals have mental health problems
- Anticipation of future debt triggers anxiety
- Debt triggers learned helplessness
- 44% stressed about debt accumulated; 44% about finishing semester
- Sleep disruption due to financial rumination</t>
  </si>
  <si>
    <t xml:space="preserve">Grand Rising: https://www.grandrisingbehavioralhealth.com/blog/the-impact-of-financial-stress-on-mental-health | Ellucian Blog: https://www.ellucian.com/blog/financial-frictions-impact-student-well-being</t>
  </si>
  <si>
    <t xml:space="preserve">Can financial study pressure lead to physical health problems in students?</t>
  </si>
  <si>
    <t xml:space="preserve">Yes. Although effects on mental wellbeing are the most extensively studied effects, there are also physical health effects resulting from financial stress via the psychosomatic pathway. Continuous psychological stress activates the HPA axis, causing high cortisol levels. High cortisol levels cause compromised immune response (more illnesses for the students), gastrointestinal issues (irritable bowel syndrome, indigestion), increased pressure and strain on the heart, and musculoskeletal tension (migraines, neck and back pain). In addition, according to the BMC Public Health (2024) research conducted among Lebanese students, there is a connection between financial stress and poorer sleep quality based on Pittsburgh Sleep Quality Index – and sleep deprivation causes physical health effects too. Financially stressed students tend to avoid medical appointments due to high costs, forming a vicious circle with deteriorating physical health affecting students' ability to concentrate on their studies and worsening their psychological state. Nutrition quality also drops as financially stressed students use cheaper, nutritionally poor, energy-dense food.</t>
  </si>
  <si>
    <t xml:space="preserve">- Financial stress activates HPA axis → elevated cortisol
- Impaired immunity, GI issues, cardiovascular strain
- Poor sleep quality confirmed (PSQI scores, BMC 2024)
- Healthcare avoidance due to cost
- Poor nutrition from food insecurity → impaired cognition</t>
  </si>
  <si>
    <t xml:space="preserve">BMC Public Health (2024): https://www.ncbi.nlm.nih.gov/pmc/articles/PMC11227159/ | AIU Blog: https://www.aiu.edu/blog/how-financial-stress-affects-students/</t>
  </si>
  <si>
    <t xml:space="preserve">How does financial stress affect concentration and academic performance?</t>
  </si>
  <si>
    <t xml:space="preserve">In a direct way, financial distress affects cognitive functioning in several ways, all of which negatively impact academic success. First and foremost, there is the idea of the 'bandwidth tax.' This is where cognitive capacity available to learn and understand things becomes impaired because the mind must attend to other pressing issues. As reported by the American Institute for University Research, students under financial strain tend to exhibit absenteeism, poor grades, and concentration problems during class. According to the Ellucian 2024 report, over 59% of students surveyed had been forced to contemplate dropping out of school due to financial stress, making it an extreme case of an undesirable outcome in academia. Besides that, financial problems force students to work extra hours and thus limit their available time for studying and other related academic activities. The student under such stress working for over 30 hours weekly while being a full-time student is severely impaired physiologically and mentally. Finally, based on the 2020–2024 systematic review on university dropout, it was established that poor academic performance (affecting between 20-30% of university students in various nations) is a direct consequence of socioeconomic disadvantage.</t>
  </si>
  <si>
    <t xml:space="preserve">- 'Bandwidth tax': financial worry consumes cognitive resources
- Absenteeism, lower GPA, poor concentration
- Increased work hours → less study time
- 59% considered dropout (Ellucian 2024)
- Socioeconomic disadvantage → 20-30% academic underperformance</t>
  </si>
  <si>
    <t xml:space="preserve">Ellucian 2024: https://www.ellucian.com/newsroom/national-survey-reveals-59-college-students-considered-dropping-out-due-financial-stress | NCBI Dropout Review: https://www.ncbi.nlm.nih.gov/pmc/articles/PMC11561383/</t>
  </si>
  <si>
    <t xml:space="preserve">Does financial study pressure increase the risk of students dropping out of university?</t>
  </si>
  <si>
    <t xml:space="preserve">Indeed, financial struggle plays an important role as one of the best indicators of students' dropout. Indeed, according to EducationData.org, 41% of college students state that they dropped out because they faced financial issues with either not being able to afford tuition (around 50%) or with other expenses (also around 50%). In addition, the Ellucian 2024 survey revealed that 59% of students thought about dropping out because of financial difficulties. More specifically, the research suggests that almost 40% of students who borrow do not graduate, while such students are three times more likely to default on loans and are expected to earn significantly lower incomes and have higher levels of unemployment compared to students who finish education. At least four million students have borrowed and stopped their studies. As a result, they bear financial costs related to studying but have no degree that will help them repay debts.</t>
  </si>
  <si>
    <t xml:space="preserve">- 41% of dropouts cite money problems (EducationData)
- 59% considered dropping out (Ellucian 2024)
- 40% of loan-takers don't graduate
- ~4 million carry debt without degree
- Dropouts 3x more likely to default on loans</t>
  </si>
  <si>
    <t xml:space="preserve">The College Investor: https://thecollegeinvestor.com/61182/why-one-third-of-college-students-drop-out-without-a-degree/ | OnToCollege: https://www.ontocollege.com/debt-but-no-degree-the-college-dropout-crisis/</t>
  </si>
  <si>
    <t xml:space="preserve">▌  COPING STRATEGIES</t>
  </si>
  <si>
    <t xml:space="preserve">Coping Strategies</t>
  </si>
  <si>
    <t xml:space="preserve">How can students find scholarships and financial aid to reduce financial pressure?</t>
  </si>
  <si>
    <t xml:space="preserve">Scholarships and grants are the most effective strategies since they do not entail repayment obligations unlike the former category. Possible solutions are: (1) Visit your university's financial aid office, which will be able to help you with scholarships, grants, emergency funding, and work study opportunities. (2) Look into websites that provide such information like Bold.org, Fastweb, Scholarships.com, and Chegg Scholarships. (3) Look for government grants, e.g. for American students there are Federal Pell Grants (with an upper annual limit of $7,395) and TEACH Grant programs. (4) Employer/community scholarships where the organization in one's area, religious organization, employer etc. gives a scholarship for education. (5) Completing the FAFSA, which is the application for federal student aid in the USA. By not applying, many qualified applicants miss out on financial aid. (6) Merit-based and need-based scholarships offered by universities departments. The recommendation from the ELFI is to apply to as many scholarships as possible and have the universities compete for your application by comparing their financial aid offers. $82.776 billion worth of federal loans were distributed last academic year in the USA, while grants are much better and under-utilized.</t>
  </si>
  <si>
    <t xml:space="preserve">- Financial aid office: first point of contact
- Platforms: Bold.org, Fastweb, Scholarships.com
- Pell Grant: up to $7,395/yr (U.S.)
- Complete FAFSA — many eligible students don't apply
- Compare financial aid packages across schools
- Employer/community scholarships: less competition</t>
  </si>
  <si>
    <t xml:space="preserve">ELFI: https://www.elfi.com/how-to-reduce-financial-stress-in-college/ | Bold.org: https://bold.org/scholarships/by-type/grants-to-pay-off-student-loans/ | EducationData Financial Aid Stats: https://educationdata.org/financial-aid-statistics</t>
  </si>
  <si>
    <t xml:space="preserve">What role does physical exercise play in managing financial study pressure?</t>
  </si>
  <si>
    <t xml:space="preserve">Exercise is one of the stress coping techniques proven through research. Moreover, exercise is applicable to students since it does not require significant amounts of money to engage in. Running, cycling, swimming, or any other form of aerobic exercise leads to the release of endorphins, serotonin, and norepinephrine that help to relieve stress caused by financial worries. According to Ellie Mental Health (2024), swimming, cycling, or kickboxing are some of the forms of aerobic exercise that can be used naturally to minimize the feeling of financial stress. Besides, exercise will lead to better sleep, higher energy levels, and self-efficacy. In addition, it has been observed that 20–30 minutes of exercise conducted 3–5 times per week reduces cortisol levels and results in better moods. Exercise can take several forms free of charge to students. First, it might involve using the campus recreational center that comes with student's tuition fee. Second, online videos available freely on YouTube might also provide guidance on how to conduct some forms of exercise. Third, exercise does not need a fitness center since running is free. Lastly, bodyweight exercise might also be conducted freely using small areas without much space.</t>
  </si>
  <si>
    <t xml:space="preserve">- Aerobic exercise releases endorphins, serotonin, norepinephrine
- Reduces cortisol from chronic financial stress
- Improves sleep quality and energy
- 20-30 min, 3-5x/week is effective
- Free options: campus gym, YouTube, running
- Builds self-efficacy alongside physical benefits</t>
  </si>
  <si>
    <t xml:space="preserve">Ellie Mental Health: https://elliementalhealth.com/5-coping-strategies-for-dealing-with-financial-stress-in-college/ | Health Assured: https://www.healthassured.org/blog/how-to-cope-with-financial-problems-and-stress-as-a-student/</t>
  </si>
  <si>
    <t xml:space="preserve">How can students increase their income while studying without sacrificing academic performance?</t>
  </si>
  <si>
    <t xml:space="preserve">Students can pursue income-generating strategies that are flexible enough to coexist with academic obligations: (1) On-campus work — campus jobs (library, cafeteria, admin offices) are typically designed around class schedules and understanding of academic demands. (2) Freelancing — digital skills like graphic design, writing, coding, social media management, or tutoring can be monetised on platforms like Fiverr, Upwork, or Freelancer with flexible hours. (3) Peer tutoring — universities often have paid tutoring programmes, or students can tutor independently in their strong subjects. (4) Research assistantships — academically strong students can earn stipends working with faculty on research projects. (5) Selling academic notes or creating educational content on platforms like Studocu or YouTube. (6) Micro-tasks and gig economy — food delivery (DoorDash, Deliveroo), survey platforms (Prolific, Swagbucks), or task apps provide short-burst income. The critical balance point identified by financial counsellors is keeping paid work to under 20 hours per week — beyond this threshold, academic performance and mental health measurably decline. Students should audit which income source pays best per hour and prioritise those, rather than maximising total working hours.</t>
  </si>
  <si>
    <t xml:space="preserve">- On-campus jobs: schedule-flexible
- Freelancing (Fiverr, Upwork): skills-based, flexible
- Peer tutoring: monetise academic strength
- Research assistantships with faculty
- Gig economy: food delivery, micro-tasks
- Cap work at &lt;20 hrs/week to protect academics</t>
  </si>
  <si>
    <t xml:space="preserve">BCU Financial Anxiety Blog: https://www.bcu.org/member-resources/blog/financial-anxiety-is-real-heres-how-to-cope-as-a-college-student | ELFI: https://www.elfi.com/how-to-reduce-financial-stress-in-college/</t>
  </si>
  <si>
    <t xml:space="preserve">What mindfulness and relaxation techniques help students cope with financial anxiety?</t>
  </si>
  <si>
    <t xml:space="preserve">Mindfulness and relaxation techniques address the cognitive and physiological dimensions of financial anxiety without requiring money. Evidence-based approaches include: (1) Mindfulness-Based Stress Reduction (MBSR) — developed by Jon Kabat-Zinn, involves body scan meditation, mindful breathing, and awareness exercises that train attention away from rumination. CareMe Health (2024) specifically recommends mindfulness practices for students experiencing financial anxiety and panic attacks. (2) Progressive Muscle Relaxation (PMR) — systematically tensing and releasing muscle groups, which reduces the physical tension component of financial stress. (3) Cognitive Restructuring — identifying catastrophic financial thoughts (e.g., 'I will never pay this off') and replacing them with accurate, proportionate assessments. This is a core component of Cognitive Behavioural Therapy (CBT). (4) Journaling — externalising financial worries onto paper reduces their intensity and can help identify patterns and solutions. (5) Breathing exercises — the 4-7-8 technique (inhale 4 seconds, hold 7, exhale 8) activates the parasympathetic nervous system, counteracting the stress response. (6) Digital mindfulness apps — Headspace, Calm, and Insight Timer offer free student tiers. The Solution-Focused Brief Therapy (SFBT) approach, noted by CareMe Health, helps students set small, actionable financial goals rather than dwelling on problems.</t>
  </si>
  <si>
    <t xml:space="preserve">- MBSR: mindful breathing, body scan, attention training
- PMR: reduces physical tension component of stress
- Cognitive restructuring: challenge catastrophic money thoughts
- Journaling: externalise and organise worries
- 4-7-8 breathing: activates parasympathetic system
- SFBT: solution focus, small actionable goals</t>
  </si>
  <si>
    <t xml:space="preserve">CareMe Health: https://careme.health/blog/financial-stress-in-students-how-it-affects-mental-wellness | BCU: https://www.bcu.org/member-resources/blog/financial-anxiety-is-real-heres-how-to-cope-as-a-college-student</t>
  </si>
  <si>
    <t xml:space="preserve">▌  FINANCIAL LITERACY</t>
  </si>
  <si>
    <t xml:space="preserve">Financial Literacy</t>
  </si>
  <si>
    <t xml:space="preserve">How can students build an emergency fund on a tight student budget?</t>
  </si>
  <si>
    <t xml:space="preserve">Building an emergency fund on a student budget requires intentional, consistent small contributions rather than large lump-sum savings. The goal is to accumulate 1–3 months of essential expenses, which serves as a buffer against unexpected costs. Practical steps include: (1) Start with a micro-savings target — even $5–$10 per week adds up to $260–$520 over a year. (2) Automate transfers — set up an automatic transfer to a savings account on the day financial aid or wages are received, before spending. (3) Use a high-yield savings account — online banks like Marcus, Ally, or country-specific equivalents offer higher interest with no minimum balance. (4) Apply the 'pay yourself first' principle — treat savings as a non-negotiable bill. (5) Use windfalls strategically — tax refunds, cash gifts, or one-time gig income should go partially into emergency savings. (6) Identify spending leaks — subscription services, takeaway meals, or impulse purchases that can be redirected. Financial advisors recommend that even a small emergency fund ($500–$1,000) dramatically reduces financial anxiety, because the knowledge that a buffer exists prevents the panic response that a single unexpected expense can trigger in students with zero savings.</t>
  </si>
  <si>
    <t xml:space="preserve">- Target: 1-3 months essential expenses
- Start with $5-10/week micro-savings
- Automate transfers on payday
- Use high-yield savings accounts
- 'Pay yourself first' principle
- Even $500-$1,000 buffer dramatically reduces anxiety</t>
  </si>
  <si>
    <t xml:space="preserve">Ellie Mental Health: https://elliementalhealth.com/5-coping-strategies-for-dealing-with-financial-stress-in-college/ | ELFI: https://www.elfi.com/how-to-reduce-financial-stress-in-college/</t>
  </si>
  <si>
    <t xml:space="preserve">What are the key things students should understand about student loans before taking them?</t>
  </si>
  <si>
    <t xml:space="preserve">Before taking student loans, students should understand several critical concepts: (1) Types of loans — federal (subsidised vs. unsubsidised) vs. private loans. Subsidised federal loans don't accrue interest while studying; unsubsidised do. Private loans often have variable rates and fewer protections. (2) Interest and compound interest — the total cost of a loan is far greater than the principal. A $20,000 loan at 6.5% over 10 years costs approximately $27,000 total. (3) Borrowing only what is needed — students should borrow the minimum required, not the maximum offered. (4) Repayment options — income-driven repayment (IDR), Pay-as-You-Earn (PAYE), and Public Service Loan Forgiveness (PSLF) are available in the U.S. but rules change (the SAVE plan was ended in 2025 following court decisions). (5) Default consequences — defaulted loans damage credit scores, trigger wage garnishment, and block future federal aid. (6) The debt-without-degree trap — nearly 40% of borrowers don't graduate, leaving them with debt and no credential. (7) Annual average debt — the 2023 graduate class carried average debt of $37,650; U.S. total student debt is $1.7 trillion across 45 million borrowers.</t>
  </si>
  <si>
    <t xml:space="preserve">- Subsidised vs. unsubsidised vs. private loans
- Compound interest significantly increases total cost
- Borrow minimum, not maximum offered
- Know: IDR, PAYE, PSLF repayment options
- Default = damaged credit, garnishment, lost aid access
- 40% of borrowers don't graduate → debt without degree</t>
  </si>
  <si>
    <t xml:space="preserve">EducationData: https://educationdata.org/financial-aid-statistics | SoFi: https://www.sofi.com/learn/content/scholarships-and-grants-to-pay-student-loans/ | OnToCollege: https://www.ontocollege.com/debt-but-no-degree-the-college-dropout-crisis/</t>
  </si>
  <si>
    <t xml:space="preserve">How should students manage credit cards to avoid worsening financial stress?</t>
  </si>
  <si>
    <t xml:space="preserve">Credit cards, if mismanaged, can rapidly accelerate financial stress for students. Key principles for responsible credit card use include: (1) Treat it as a debit card — only spend what you already have in your bank account; pay the full balance monthly to avoid interest charges (typical credit card APR is 20–30%). (2) Understand the difference between revolving debt and fixed debt — revolving credit card debt compounds monthly and can snowball quickly. (3) Avoid cash advances — these attract immediate interest with no grace period and often higher fees. (4) Monitor credit utilisation — keep usage below 30% of the credit limit to protect your credit score. (5) Use the card for building credit history, not for funding a lifestyle — students with no credit history struggle to secure housing, phone contracts, and employment background checks later. (6) Set up automatic minimum payments — to avoid late fees and credit score damage even if full payment isn't possible. (7) Know the risks of Buy Now Pay Later (BNPL) services — often marketed to students, they can trap users in cycles of revolving debt that are not always visible on credit reports. Universities are increasingly including credit card literacy in financial wellness workshops.</t>
  </si>
  <si>
    <t xml:space="preserve">- Use credit card like a debit card: pay full balance monthly
- APR typically 20-30%; revolving debt compounds fast
- Avoid cash advances
- Keep utilisation &lt;30% of limit
- Build credit history, not lifestyle debt
- Beware BNPL traps</t>
  </si>
  <si>
    <t xml:space="preserve">BCU Financial Anxiety: https://www.bcu.org/member-resources/blog/financial-anxiety-is-real-heres-how-to-cope-as-a-college-student | CareMe Health: https://careme.health/blog/financial-stress-in-students-how-it-affects-mental-wellness</t>
  </si>
  <si>
    <t xml:space="preserve">What are practical ways students can reduce their monthly expenses?</t>
  </si>
  <si>
    <t xml:space="preserve">Reducing monthly expenses requires a systematic review of all outgoings and creative substitution of lower-cost alternatives: (1) Housing — consider living with roommates, choosing accommodation farther from campus, or university-subsidised housing where available. (2) Food — meal prepping in bulk (grains, legumes, vegetables) is significantly cheaper than eating out; campus food banks and pantries (available at many universities) can supplement. (3) Transport — use student discounts on public transport, cycle, carpool, or walk; avoid car ownership if possible. (4) Textbooks — use library copies, rent from BookFinder, use OpenStax free textbooks, buy previous editions (content is usually similar), or use PDF versions where legally available. (5) Subscriptions — audit all recurring charges (streaming, gym, apps) and cancel those not used daily. (6) Student discounts — use university email for UNiDAYS, Student Beans, Apple Education, Adobe, Microsoft, and Spotify student rates. These can save hundreds annually. (7) Utilities — use appliances efficiently, unplug devices, and split utilities fairly across housemates. (8) Social life — organise low-cost activities (free campus events, park outings, cooking together) rather than expensive outings. Even small reductions in several categories compound into meaningful monthly savings.</t>
  </si>
  <si>
    <t xml:space="preserve">- Housing: roommates, farther accommodation, subsidised options
- Food: bulk meal prep, campus food banks
- Transport: student transit passes, cycling, carpooling
- Textbooks: library, OpenStax, rent, older editions
- Subscriptions: audit and cancel unused ones
- Student discounts: UNiDAYS, Spotify, Adobe, Microsoft</t>
  </si>
  <si>
    <t xml:space="preserve">Health Assured: https://www.healthassured.org/blog/how-to-cope-with-financial-problems-and-stress-as-a-student/ | ELFI: https://www.elfi.com/how-to-reduce-financial-stress-in-college/</t>
  </si>
  <si>
    <t xml:space="preserve">▌  INSTITUTIONAL SUPPORT</t>
  </si>
  <si>
    <t xml:space="preserve">Institutional Support</t>
  </si>
  <si>
    <t xml:space="preserve">How can financial counselling help students under financial study pressure?</t>
  </si>
  <si>
    <t xml:space="preserve">Financial counselling provides structured, personalised guidance that addresses both the practical and emotional dimensions of financial stress. The AFCPE (2024) highlights the synergy of financial counselling and coaching as the most effective combined approach for stressed college students — where counselling addresses emotional barriers and coaching develops skills and behaviours. In practice, financial counsellors help students by: (1) Conducting a complete financial assessment — mapping all income sources, expenses, debts, and obligations. (2) Creating actionable debt management plans — prioritising high-interest debt, exploring income-driven repayment options, and identifying refinancing opportunities. (3) Navigating financial aid systems — many students fail to access aid they qualify for because the system is complex; counsellors guide them through FAFSA, scholarships, and grants. (4) Providing Solution-Focused Brief Therapy (SFBT) — helping students set specific, achievable financial goals rather than feeling overwhelmed by the totality of their situation. (5) Reducing shame — in a confidential setting, students can discuss money problems without fear of judgment, which itself has therapeutic value. (6) Building long-term financial habits — not just crisis management but sustainable money behaviour. Research from CareMe Health (2024) confirms that universities offering financial counselling see measurable improvements in student GPA and retention.</t>
  </si>
  <si>
    <t xml:space="preserve">- Complete financial assessment: income, expenses, debt map
- Debt management plans with prioritisation
- Aid navigation: FAFSA, scholarships, grants
- SFBT: achievable goal-setting vs. overwhelm
- Shame reduction in confidential setting
- Long-term financial habit formation</t>
  </si>
  <si>
    <t xml:space="preserve">AFCPE (2024): https://www.afcpe.org/news-and-publications/the-standard/1st-quarter-2024/student-corner-bridging-the-gap-the-synergy-of-financial-counseling-and-coaching-for-stressed-college-students/ | CareMe Health: https://careme.health/blog/financial-stress-in-students-how-it-affects-mental-wellness</t>
  </si>
  <si>
    <t xml:space="preserve">What is an emergency aid fund and how can students access it?</t>
  </si>
  <si>
    <t xml:space="preserve">An emergency aid fund is a reserve of money maintained by a university or college specifically to help students facing sudden, unexpected financial hardship that threatens their ability to continue studying. These funds are designed to bridge short-term crises, not to replace ongoing financial aid. Common qualifying situations include: unexpected medical expenses, sudden loss of employment by the student or a supporting family member, emergency travel for family bereavement, natural disasters affecting the student's household, unexpected housing loss, or theft of essential equipment (laptop, phone). How to access emergency aid: (1) Contact the university's Student Services, Financial Aid Office, or Dean of Students office. (2) Complete an application describing the emergency — most require documentation (medical bills, eviction notices, proof of income loss). (3) Await a decision — many institutions offer 24–72 hour turnaround for genuine emergencies. (4) Supplementary sources — GoFundMe campaigns, community organisations, local charities, and religious institutions also provide emergency financial support. Klassapps (2024) recommends that institutions establish and clearly publicise these funds, as many students don't know they exist. Student services teams at campuses with proactive communication see higher fund utilisation, meaning fewer students drop out due to preventable financial crises.</t>
  </si>
  <si>
    <t xml:space="preserve">- Designed for sudden, unexpected hardship
- Qualifying events: medical, job loss, bereavement, eviction
- Access via Student Services / Financial Aid Office
- Usually requires documentation
- 24-72 hour turnaround for genuine emergencies
- Many students unaware these funds exist</t>
  </si>
  <si>
    <t xml:space="preserve">Klassapps (2024): https://klassapps.com/financial-exigency-in-2024-supporting-students-through-unforeseen-challenges/ | ELFI: https://www.elfi.com/how-to-reduce-financial-stress-in-college/</t>
  </si>
  <si>
    <t xml:space="preserve">How do peer support networks help students manage financial study pressure?</t>
  </si>
  <si>
    <t xml:space="preserve">Peer support networks are a powerful but underappreciated resource for students experiencing financial study pressure. The psychological benefit of peer support in university environments was highlighted by Pointon-Haas et al. (2024), cited in the IJRISS study, which found that supportive university environments can foster resilience and reduce stigma around seeking mental health help. Financial stress in particular carries a social stigma — students often avoid discussing money problems for fear of judgment or appearing incompetent. Peer support normalises financial struggle as a shared experience rather than a personal failure. Specific mechanisms by which peer networks help include: (1) Information sharing — peers who have navigated scholarship applications, financial aid appeals, or work-study programmes share practical knowledge. (2) Emotional validation — knowing that others face similar pressures reduces isolation and shame. (3) Accountability for coping strategies — friends who commit to budgeting together or attending financial literacy workshops together are more likely to follow through. (4) Resource pooling — group cooking, shared subscriptions, carpooling, and bulk grocery buying are peer-enabled cost-reduction strategies. (5) Early warning — close peers can identify when a friend's financial stress is escalating to crisis level and encourage professional help. Universities should formalise peer mentoring programmes with financial literacy training for mentors.</t>
  </si>
  <si>
    <t xml:space="preserve">- Reduces stigma: normalises financial struggle as shared experience
- Information sharing on scholarships, appeals, work-study
- Emotional validation reduces isolation and shame
- Accountability for budgeting and coping commitments
- Resource pooling: cooking, subscriptions, carpooling
- Peers identify escalating crisis → encourage professional help</t>
  </si>
  <si>
    <t xml:space="preserve">IJRISS (2025): https://rsisinternational.org/journals/ijriss/articles/the-effect-of-financial-stress-on-mental-health-among-univthe-effect-of-financial-stress-on-mental-health-among-university-students/ | AFCPE (2024): https://www.afcpe.org/news-and-publications/the-standard/1st-quarter-2024/student-corner-bridging-the-gap-the-synergy-of-financial-counseling-and-coaching-for-stressed-college-students/</t>
  </si>
  <si>
    <t xml:space="preserve">What government programs and policies exist to support financially stressed students?</t>
  </si>
  <si>
    <t xml:space="preserve">Government-level interventions represent the structural layer of financial support for students, operating above the institutional level: (1) In the U.S. — the Federal Pell Grant provides up to $7,395 per year for low-income undergraduates. Federal Work-Study provides part-time employment subsidised by the government. Income-Driven Repayment (IDR) plans cap monthly loan repayments at a percentage of discretionary income. Public Service Loan Forgiveness (PSLF) cancels remaining debt after 10 years of qualifying payments for government or non-profit employees. The TEACH Grant ($4,000/year) supports students pursuing education careers. (2) In the UK — the Student Loan Company provides maintenance loans adjusted for household income and geography; the NHS Bursary supports healthcare students. (3) In Canada — the Canada Student Grants and Loans program provides non-repayable grants to low-income students. (4) In Australia — HECS-HELP means students don't pay tuition upfront; repayments begin only when income exceeds a threshold (~AUD$54,000). (5) Pell Grant statistics — 39% of U.S. survey respondents in the Ellucian 2024 study were Pell Grant eligible. Government programs vary by country and are subject to policy change (e.g., the SAVE repayment plan was ended by courts in 2025).</t>
  </si>
  <si>
    <t xml:space="preserve">- U.S.: Pell Grant ($7,395/yr), Work-Study, IDR, PSLF, TEACH
- UK: Maintenance Loan, NHS Bursary
- Canada: Canada Student Grants (non-repayable)
- Australia: HECS-HELP deferred tuition, income-linked repayment
- Policy changes frequent (e.g., SAVE plan ended 2025)
- FAFSA completion critical gateway to U.S. federal aid</t>
  </si>
  <si>
    <t xml:space="preserve">EducationData Aid Statistics: https://educationdata.org/financial-aid-statistics | SoFi Grants: https://www.sofi.com/learn/content/scholarships-and-grants-to-pay-student-loans/</t>
  </si>
  <si>
    <t xml:space="preserve">▌  PSYCHOLOGY &amp; BEHAVIOUR</t>
  </si>
  <si>
    <t xml:space="preserve">Psychology &amp; Behaviour</t>
  </si>
  <si>
    <t xml:space="preserve">How does financial stress create a cycle that is hard for students to break?</t>
  </si>
  <si>
    <t xml:space="preserve">Financial stress creates a self-reinforcing cycle through several interconnected mechanisms: (1) Cognitive impairment → poor decisions — when financial stress occupies mental bandwidth, students make worse financial decisions (impulse spending for relief, avoiding financial planning because it triggers anxiety), which worsen their situation. (2) Academic decline → fewer opportunities — reduced academic performance lowers GPA, closing doors to merit-based scholarships, graduate school, and competitive employment that would resolve the financial situation. (3) Physical health decline → healthcare costs — stress-induced health problems that go untreated (due to cost) become more expensive later. (4) Social isolation → reduced support — shame-driven withdrawal from peers removes the social support network that could provide information, emotional support, and practical help. (5) Part-time work overload → more stress — taking on excessive work hours to manage immediate expenses reduces study time, worsening academic performance and extending the degree timeline (increasing total tuition cost). (6) Debt accumulation → compounding interest — unpaid or minimum-paid debt grows through compound interest, making the mountain harder to climb. The AIU Blog (2025) describes how financial stress causes students to replay money-related thoughts continuously, preventing the cognitive rest needed to make clear decisions. Breaking the cycle requires interrupting it at multiple points simultaneously, which is why integrated financial counselling + mental health support is most effective.</t>
  </si>
  <si>
    <t xml:space="preserve">- Cognitive impairment → poor financial decisions
- Academic decline → fewer scholarship/job opportunities
- Physical health decline → escalating healthcare costs
- Social isolation → loss of support network
- Work overload → worse academics → longer degree → more cost
- Debt compounding: cycle is self-reinforcing without intervention</t>
  </si>
  <si>
    <t xml:space="preserve">AIU Blog: https://www.aiu.edu/blog/how-financial-stress-affects-students/ | CareMe Health: https://careme.health/blog/financial-stress-in-students-how-it-affects-mental-wellness</t>
  </si>
  <si>
    <t xml:space="preserve">Why do students often avoid seeking help for financial problems?</t>
  </si>
  <si>
    <t xml:space="preserve">Help-avoidance is a documented phenomenon among financially stressed students and stems from several psychological and systemic barriers: (1) Shame and stigma — financial difficulty is culturally framed as a personal failure rather than a structural/systemic issue, making students reluctant to disclose their situation. (2) Perceived incompetence — students fear that admitting financial struggle will make others think they are bad at adulting or incapable. (3) Pride — especially among students from families that sacrificed for their education, admitting financial failure feels like betraying that sacrifice. (4) Lack of awareness — many students don't know what support is available, who to approach, or how to access it. (5) Past negative experiences — students who sought help and felt judged, dismissed, or bureaucratically rebuffed are unlikely to try again. (6) Time poverty — financially stressed students working long hours feel they don't have time to attend counselling or financial workshops. (7) Hopelessness — in severe cases of financial stress, students have developed the belief that their situation is unchangeable, making help-seeking feel pointless. Pointon-Haas et al. (2024) found that supportive, low-stigma university environments with active community engagement were most effective at encouraging help-seeking behaviour. Proactive outreach (reaching out to struggling students rather than waiting for them to self-refer) significantly increases uptake of support services.</t>
  </si>
  <si>
    <t xml:space="preserve">- Shame: financial difficulty framed as personal failure
- Fear of appearing incompetent
- Pride: betraying family sacrifice
- Low awareness of available support
- Time poverty: too busy working to seek help
- Hopelessness: belief situation is unchangeable
- Proactive outreach &gt; self-referral models</t>
  </si>
  <si>
    <t xml:space="preserve">How does financial stress affect social relationships and social life of students?</t>
  </si>
  <si>
    <t xml:space="preserve">Financial stress significantly disrupts students' social lives and relationships through multiple pathways: (1) Withdrawal from social activities — students unable to afford dining out, cinema, travel, or event tickets progressively exclude themselves from peer activities, leading to isolation. Grand Rising Behavioral Health (2024) confirms that financially strained students report adverse effects on their social lives. (2) Relationship tension — financial stress spills into romantic relationships, friendships, and family dynamics, causing arguments about money, resentment, or emotional withdrawal. (3) Comparison anxiety — social media amplifies the perception that peers have more financial security, intensifying feelings of inadequacy and shame. (4) Reduced social reciprocity — students who cannot afford to contribute to group meals, gifts, or shared activities feel guilty and may withdraw rather than explain their situation. (5) Academic peer disengagement — financial pressure reduces participation in study groups, academic conferences, and networking events that require any financial outlay. (6) Family relationship strain — students from families with lower socioeconomic status may experience conflict when they are unable to contribute financially to the household or when family members don't understand the value of continuing in higher education given the financial burden.</t>
  </si>
  <si>
    <t xml:space="preserve">- Withdrawal from paid social activities → isolation
- Relationship tension: money arguments, resentment
- Social media comparison amplifies inadequacy feelings
- Cannot reciprocate socially → guilt-driven withdrawal
- Miss networking/academic events requiring financial outlay
- Family conflict about education cost vs. contribution</t>
  </si>
  <si>
    <t xml:space="preserve">Grand Rising: https://www.grandrisingbehavioralhealth.com/blog/the-impact-of-financial-stress-on-mental-health | AIU Blog: https://www.aiu.edu/blog/how-financial-stress-affects-students/</t>
  </si>
  <si>
    <t xml:space="preserve">What psychological interventions are most effective for financially stressed students?</t>
  </si>
  <si>
    <t xml:space="preserve">Research supports several psychological interventions tailored to financially stressed students: (1) Cognitive Behavioural Therapy (CBT) — addresses the cognitive distortions (catastrophising, all-or-nothing thinking) that amplify financial stress beyond what the objective situation warrants. Particularly effective for financial anxiety. (2) Solution-Focused Brief Therapy (SFBT) — as recommended by CareMe Health (2024), this emphasises identifying small, achievable steps toward financial improvement rather than dwelling on problems. It is time-efficient, making it suitable for busy students. (3) Mindfulness-Based Stress Reduction (MBSR) — reduces rumination and improves present-moment awareness, which is particularly useful for students whose minds are caught in future-focused financial worry loops. (4) Financial Counselling integrated with mental health support — the AFCPE (2024) model that combines financial coaching (practical skills) with emotional support addresses both dimensions of the problem. (5) Group therapy and peer support groups — shared experience reduces shame and provides practical information through peer knowledge exchange. (6) Motivational Interviewing (MI) — helps students overcome ambivalence about seeking financial help or making behavioural changes. Institutions that offer integrated counselling (where a student can discuss both mental health and finances in one appointment) report significantly better outcomes than those with siloed services.</t>
  </si>
  <si>
    <t xml:space="preserve">- CBT: targets catastrophising and financial distortions
- SFBT: small achievable steps, time-efficient
- MBSR: reduces future-worry rumination
- Integrated financial + mental health counselling
- Group therapy: shame reduction + peer knowledge
- Motivational Interviewing: addresses help-seeking ambivalence</t>
  </si>
  <si>
    <t xml:space="preserve">CareMe Health: https://careme.health/blog/financial-stress-in-students-how-it-affects-mental-wellness | AFCPE (2024): https://www.afcpe.org/news-and-publications/the-standard/1st-quarter-2024/student-corner-bridging-the-gap-the-synergy-of-financial-counseling-and-coaching-for-stressed-college-students/</t>
  </si>
  <si>
    <t xml:space="preserve">▌  SPECIFIC SITUATIONS</t>
  </si>
  <si>
    <t xml:space="preserve">Specific Situations</t>
  </si>
  <si>
    <t xml:space="preserve">How can international students manage the additional financial pressures they face?</t>
  </si>
  <si>
    <t xml:space="preserve">International students face compounded financial pressures compared to domestic students: (1) Higher tuition fees — international students typically pay 2–4x more tuition than domestic students; in some institutions, fees exceed $50,000/year. (2) Limited work rights — many student visas restrict working hours (e.g., 20 hours/week in the U.S. on an F-1 visa, 28 hours in the UK on a Student Visa). (3) No access to most government aid — federal/national grants and loans are typically restricted to citizens or permanent residents. (4) Currency exchange risk — if income is from family in another country, exchange rate fluctuations can significantly impact real purchasing power. (5) Higher cost of visa, travel, and health insurance requirements. Coping strategies include: applying for university-specific international student scholarships, seeking research assistantships which are visa-compatible, building currency exchange risk buffers, leveraging home country government scholarships (e.g., Pakistan's HEC scholarships, China's CSC scholarships), making full use of on-campus employment opportunities which are visa-compliant, and connecting with international student offices for emergency funds specifically available to international students. The psychological dimension is amplified by geographic isolation from family support networks.</t>
  </si>
  <si>
    <t xml:space="preserve">- 2-4x higher tuition fees than domestic students
- Visa work restrictions (e.g., 20 hrs/week U.S., 28 hrs UK)
- No access to most government grants/loans
- Currency exchange risk impacts family remittances
- Home country scholarships: HEC, CSC, etc.
- On-campus employment: visa-compliant
- Amplified isolation: far from family support networks</t>
  </si>
  <si>
    <t xml:space="preserve">ELFI: https://www.elfi.com/how-to-reduce-financial-stress-in-college/ | College Ave: https://www.collegeave.com/articles/financial-stress-in-college-students/</t>
  </si>
  <si>
    <t xml:space="preserve">How does financial study pressure affect postgraduate and PhD students differently?</t>
  </si>
  <si>
    <t xml:space="preserve">Postgraduate and PhD students face a distinct set of financial pressures compared to undergraduates: (1) Stipends often below living wage — PhD stipends in many countries do not keep pace with inflation or local cost of living. In the U.S., average PhD stipends range from $20,000–$35,000/year, with stipend increases lagging behind post-pandemic inflation. (2) Extended degree timelines — PhDs typically take 4–7 years, meaning longer financial strain with uncertain employment outcomes. (3) Limited external funding eligibility — many scholarships and grants are undergraduate-only. (4) Publication and conference costs — presenting research requires funding for travel, registration, and in some disciplines, publication fees. (5) Healthcare and benefits gaps — PhD students not on full funding packages often lack healthcare coverage. (6) The 'golden handcuffs' problem — PhD students who have invested years in a programme feel unable to quit even when financial and mental health deterioration is severe, because sunk cost bias prevents them from leaving. (7) Social comparison with industry peers — PhD students who are same-age as industry-employed friends earning market salaries experience significant financial identity pressure. Support systems should include adequate stipend benchmarking, conference travel grants, and mental health services specifically designed for the unique postgraduate context.</t>
  </si>
  <si>
    <t xml:space="preserve">- Stipends often below living wage (U.S. avg $20-35k/yr)
- Extended 4-7 year financial strain
- Limited scholarship eligibility at postgrad level
- Conference/publication costs unfunded
- Healthcare gaps in partial-funding packages
- Sunk cost bias: can't quit despite deterioration
- Social comparison with same-age industry earners</t>
  </si>
  <si>
    <t xml:space="preserve">College Ave: https://www.collegeave.com/articles/financial-stress-in-college-students/ | Grand Rising: https://www.grandrisingbehavioralhealth.com/blog/the-impact-of-financial-stress-on-mental-health</t>
  </si>
  <si>
    <t xml:space="preserve">What financial challenges do mature/adult learners face when returning to education?</t>
  </si>
  <si>
    <t xml:space="preserve">Mature students — typically defined as those aged 25 or older returning to education — face a unique and often more severe set of financial pressures: (1) Pre-existing financial obligations — mortgage or rent payments, family dependents, and credit commitments exist before the cost of study is added. (2) Income replacement — returning to full-time study means replacing a previous salary, which may be significant. The Ellucian 2024 survey found that 58% of respondents were working adult learners, showing how common this dual burden is. (3) Reduced eligibility for certain student benefits — some government aid programmes prioritise traditional-age students. (4) Employer tuition support limitations — while some employers offer tuition reimbursement, these often require remaining with the employer for a period and cover only partial costs. (5) Caregiving responsibilities — mature students are more likely to have children or elderly parents to care for, limiting study time and adding childcare costs. (6) Psychological adjustment — after years in employment, returning to student financial status carries identity and status implications. (7) Career transition risk — mature students changing careers take on educational debt with less remaining working life to recoup the investment. Institutions should offer mature student advisors, flexible scheduling, and childcare subsidies to support this growing student population.</t>
  </si>
  <si>
    <t xml:space="preserve">- Pre-existing obligations: mortgage, dependents, debt
- Replaces previous income with student budget
- 58% of U.S. students are working adult learners (Ellucian 2024)
- Caregiving costs: children, elderly parents
- Employer tuition reimbursement often partial and conditional
- Less remaining working life to repay investment
- Identity strain: returning to student financial status</t>
  </si>
  <si>
    <t xml:space="preserve">Ellucian 2024: https://www.ellucian.com/newsroom/national-survey-reveals-59-college-students-considered-dropping-out-due-financial-stress | Ellucian Blog: https://www.ellucian.com/blog/financial-frictions-impact-student-well-being</t>
  </si>
  <si>
    <t xml:space="preserve">How does living off-campus versus on-campus affect student financial stress?</t>
  </si>
  <si>
    <t xml:space="preserve">The housing arrangement significantly shapes students' financial stress profile. The BMC Public Health (2024) study of Lebanese students found that living off-campus was an independent predictor of higher PSS-10 (perceived stress) scores and WHO-5 wellbeing scores — indicating that off-campus students face more complex financial management challenges. Key considerations: On-campus housing advantages — predictable all-inclusive cost (utilities, internet, sometimes meals), no landlord negotiations, no lease break penalties, proximity to academic resources, and often subsidised by the institution. On-campus disadvantages — typically more expensive per month than shared off-campus rentals, less control over living environment, and limited availability. Off-campus advantages — potential cost savings through sharing with multiple roommates, cooking own meals, and choosing accommodation in lower-cost neighbourhoods. Off-campus disadvantages — variable costs (utility bills spike in winter), transport costs to campus, lease obligations if circumstances change, landlord disputes, and the full burden of utility and grocery management falling on students. Students moving off-campus for the first time are particularly vulnerable — the transition from all-inclusive campus living to managing multiple household bills simultaneously can trigger the onset of financial stress and anxiety when expenses are higher than anticipated.</t>
  </si>
  <si>
    <t xml:space="preserve">- Off-campus: higher PSS-10 stress scores (BMC Public Health 2024)
- On-campus: predictable costs, subsidised, resource-proximate
- Off-campus: potential savings via shared living + cooking
- Off-campus risks: variable bills, transport, lease obligations
- First-time off-campus transition: surprise expense trigger
- Both situations have financial stress implications</t>
  </si>
  <si>
    <t xml:space="preserve">BMC Public Health (2024): https://www.ncbi.nlm.nih.gov/pmc/articles/PMC11227159/ | Health Assured: https://www.healthassured.org/blog/how-to-cope-with-financial-problems-and-stress-as-a-student/</t>
  </si>
  <si>
    <t xml:space="preserve">▌  TECHNOLOGY &amp; RESOURCES</t>
  </si>
  <si>
    <t xml:space="preserve">Technology &amp; Resources</t>
  </si>
  <si>
    <t xml:space="preserve">What are the best free online resources for student financial education?</t>
  </si>
  <si>
    <t xml:space="preserve">A wide range of free online resources can help students build the financial literacy needed to manage study-related financial pressure: (1) Government portals — the U.S. Federal Student Aid website (studentaid.gov) provides comprehensive information on FAFSA, loans, repayment plans, and forgiveness programs. (2) University financial aid offices — most have online resources, calculators, and guides specific to their institution and local aid programs. (3) Khan Academy — offers free courses on personal finance, budgeting, taxes, credit, and investing, presented accessibly. (4) CFPB (Consumer Financial Protection Bureau) — provides free financial education tools at consumerfinance.gov, including student loan tools. (5) AFCPE (Association for Financial Counseling and Planning Education) — publishes research and practical resources on student financial stress. (6) YouTube channels — channels like Graham Stephan, Andrei Jikh, and The Financial Diet offer practical personal finance content. (7) University library databases — JSTOR, PubMed, and institutional databases provide access to peer-reviewed research on financial stress without subscription cost using student credentials. (8) Reddit communities — r/personalfinance and r/StudentLoans provide peer advice and real-world experience-sharing, though professional advice should still be sought for major decisions.</t>
  </si>
  <si>
    <t xml:space="preserve">- studentaid.gov: FAFSA, loans, repayment, forgiveness (U.S.)
- Khan Academy: free personal finance courses
- CFPB: consumer finance tools
- AFCPE: research and practitioner resources
- YouTube: Graham Stephan, The Financial Diet
- University library: JSTOR, PubMed via student credentials
- Reddit: r/personalfinance, r/StudentLoans (peer advice)</t>
  </si>
  <si>
    <t xml:space="preserve">AFCPE (2024): https://www.afcpe.org/ | Federal Student Aid: https://studentaid.gov | ELFI: https://www.elfi.com/how-to-reduce-financial-stress-in-college/</t>
  </si>
  <si>
    <t xml:space="preserve">How can a chatbot help students dealing with financial study pressure?</t>
  </si>
  <si>
    <t xml:space="preserve">A chatbot focused on financial study pressure can deliver meaningful support across several dimensions: (1) 24/7 accessibility — unlike human counsellors with office hours, a chatbot is available at 2am when financial anxiety spikes and prevents sleep. (2) Stigma-free interaction — students who feel ashamed to discuss finances with another person can explore their concerns privately with a chatbot. Research on mental health chatbots (e.g., Woebot studies) shows that users disclose more openly with AI than with humans due to reduced fear of judgment. (3) Information provision — the chatbot can answer questions about scholarships, financial aid, budgeting strategies, and university resources, functioning as a first-line knowledge hub. (4) Psychoeducation — delivering evidence-based information about financial stress, its mental health impacts, and validated coping strategies (CBT, MBSR, SFBT techniques). (5) Guided exercises — walking students through budgeting worksheets, expense tracking, or mindfulness exercises. (6) Triage and referral — identifying when a student's financial distress has escalated to a mental health crisis and directing them to appropriate professional support. (7) Personalised resource matching — based on the student's institution, location, and situation, pointing them to relevant emergency funds, scholarships, or services. Limitations include: inability to provide personalised financial or legal advice, and the risk of over-reliance replacing professional help.</t>
  </si>
  <si>
    <t xml:space="preserve">- 24/7 availability: peak anxiety at night
- Stigma-free: more disclosure vs. human counsellors
- Information hub: scholarships, aid, budgeting strategies
- Psychoeducation: financial stress and coping strategies
- Guided exercises: budgeting worksheets, mindfulness
- Triage: escalation detection → professional referral
- Personalised resource matching by location/institution</t>
  </si>
  <si>
    <t xml:space="preserve">CareMe Health: https://careme.health/blog/financial-stress-in-students-how-it-affects-mental-wellness | AFCPE: https://www.afcpe.org/</t>
  </si>
  <si>
    <t xml:space="preserve">▌  LONG-TERM &amp; SYSTEMIC</t>
  </si>
  <si>
    <t xml:space="preserve">Long-term &amp; Systemic</t>
  </si>
  <si>
    <t xml:space="preserve">What systemic changes are needed to reduce financial study pressure across higher education?</t>
  </si>
  <si>
    <t xml:space="preserve">Addressing financial study pressure at scale requires structural reform across multiple levels: (1) Tuition cost reform — public university funding needs to be restored (in many countries, state funding has declined, shifting costs to students). Free or heavily subsidised higher education models (Germany, Nordic countries, increasingly Scotland) demonstrate viability. (2) Stipend and financial aid adequacy — PhD stipends and financial aid should be indexed to regional cost of living and reviewed annually. (3) Universal basic income pilots for students — several countries are piloting unconditional basic income for students to remove the crisis-management dimension of study. (4) Mental health integration — financial stress support should be integrated into university mental health services rather than siloed in separate offices. (5) Financial literacy as a core curriculum component — not optional workshops but assessed modules within degree programs. (6) Employer contributions — graduate employers who benefit from the talent pipeline should contribute more to the educational infrastructure through taxation. (7) Data transparency — universities should publish student financial distress rates, dropout rates by socioeconomic group, and emergency fund utilisation, creating accountability. (8) Technology investment — chatbots, personalised financial dashboards, and proactive early-warning systems (identifying students at risk of dropout due to financial distress) can make support more accessible and scalable. The Hope Center (2021) model of treating basic needs (food, housing, mental health, finances) as educational infrastructure — not optional — is the most comprehensive framework.</t>
  </si>
  <si>
    <t xml:space="preserve">- Tuition reform: restore public funding; free HE models (Germany, Nordics)
- Stipends indexed to regional cost of living
- UBI pilots for students (several countries)
- Integrate financial + mental health services
- Financial literacy as assessed curriculum (not optional workshops)
- Employer tax contributions to education pipeline
- Data transparency on distress rates and dropout by SES
- Tech: early-warning systems for at-risk students</t>
  </si>
  <si>
    <t xml:space="preserve">Ellucian Blog: https://www.ellucian.com/blog/financial-frictions-impact-student-well-being | Hope Center (2021) cited in: https://www.ellucian.com/blog/financial-frictions-impact-student-well-being | NCBI Dropout Review: https://www.ncbi.nlm.nih.gov/pmc/articles/PMC11561383/</t>
  </si>
  <si>
    <t xml:space="preserve">SOURCES &amp; REFERENCES — Financial Study Pressure Chatbot Corpus</t>
  </si>
  <si>
    <t xml:space="preserve">Source / Author</t>
  </si>
  <si>
    <t>URL</t>
  </si>
  <si>
    <t>Type</t>
  </si>
  <si>
    <t xml:space="preserve">IJRISS — Effect of Financial Stress on Mental Health among University Students (2025)</t>
  </si>
  <si>
    <t>https://rsisinternational.org/journals/ijriss/articles/the-effect-of-financial-stress-on-mental-health-among-univthe-effect-of-financial-stress-on-mental-health-among-university-students/</t>
  </si>
  <si>
    <t xml:space="preserve">Peer-reviewed Journal</t>
  </si>
  <si>
    <t xml:space="preserve">Ellucian National Survey — 59% of Students Considered Dropping Out (2024)</t>
  </si>
  <si>
    <t>https://www.ellucian.com/newsroom/national-survey-reveals-59-college-students-considered-dropping-out-due-financial-stress</t>
  </si>
  <si>
    <t xml:space="preserve">Industry Survey</t>
  </si>
  <si>
    <t xml:space="preserve">BMC Public Health — Financial Stress on Student Wellbeing, Lebanon (2024)</t>
  </si>
  <si>
    <t>https://www.ncbi.nlm.nih.gov/pmc/articles/PMC11227159/</t>
  </si>
  <si>
    <t xml:space="preserve">Ellucian Blog — Financial Friction's Impact on Student Well-being</t>
  </si>
  <si>
    <t>https://www.ellucian.com/blog/financial-frictions-impact-student-well-being</t>
  </si>
  <si>
    <t xml:space="preserve">Institutional Blog</t>
  </si>
  <si>
    <t xml:space="preserve">Grand Rising Behavioral Health — Impact of Financial Stress on Mental Health</t>
  </si>
  <si>
    <t>https://www.grandrisingbehavioralhealth.com/blog/the-impact-of-financial-stress-on-mental-health</t>
  </si>
  <si>
    <t xml:space="preserve">Clinical Resource</t>
  </si>
  <si>
    <t xml:space="preserve">College Ave — Financial Stress in College Students</t>
  </si>
  <si>
    <t>https://www.collegeave.com/articles/financial-stress-in-college-students/</t>
  </si>
  <si>
    <t xml:space="preserve">Industry Resource</t>
  </si>
  <si>
    <t xml:space="preserve">Health Assured — How to Cope with Financial Problems as a Student</t>
  </si>
  <si>
    <t>https://www.healthassured.org/blog/how-to-cope-with-financial-problems-and-stress-as-a-student/</t>
  </si>
  <si>
    <t xml:space="preserve">EAP Resource</t>
  </si>
  <si>
    <t xml:space="preserve">BCU Blog — Financial Anxiety: How to Cope as a College Student</t>
  </si>
  <si>
    <t>https://www.bcu.org/member-resources/blog/financial-anxiety-is-real-heres-how-to-cope-as-a-college-student</t>
  </si>
  <si>
    <t xml:space="preserve">Financial Institution Blog</t>
  </si>
  <si>
    <t xml:space="preserve">CareMe Health — Financial Stress in Students: Mental Wellness (2024)</t>
  </si>
  <si>
    <t>https://careme.health/blog/financial-stress-in-students-how-it-affects-mental-wellness</t>
  </si>
  <si>
    <t xml:space="preserve">Mental Health Resource</t>
  </si>
  <si>
    <t xml:space="preserve">Ellie Mental Health — Coping Strategies for Financial Stress in College</t>
  </si>
  <si>
    <t>https://elliementalhealth.com/5-coping-strategies-for-dealing-with-financial-stress-in-college/</t>
  </si>
  <si>
    <t xml:space="preserve">ELFI — 7 Tips for Dealing with Financial Stress in College</t>
  </si>
  <si>
    <t>https://www.elfi.com/how-to-reduce-financial-stress-in-college/</t>
  </si>
  <si>
    <t xml:space="preserve">Student Finance Resource</t>
  </si>
  <si>
    <t xml:space="preserve">AIU Blog — How Financial Stress Affects Students</t>
  </si>
  <si>
    <t>https://www.aiu.edu/blog/how-financial-stress-affects-students/</t>
  </si>
  <si>
    <t xml:space="preserve">University Resource</t>
  </si>
  <si>
    <t xml:space="preserve">AFCPE — Financial Counseling and Coaching for Stressed College Students (2024)</t>
  </si>
  <si>
    <t>https://www.afcpe.org/news-and-publications/the-standard/1st-quarter-2024/student-corner-bridging-the-gap-the-synergy-of-financial-counseling-and-coaching-for-stressed-college-students/</t>
  </si>
  <si>
    <t xml:space="preserve">Professional Association</t>
  </si>
  <si>
    <t xml:space="preserve">The College Investor — Why College Students Drop Out</t>
  </si>
  <si>
    <t>https://thecollegeinvestor.com/61182/why-one-third-of-college-students-drop-out-without-a-degree/</t>
  </si>
  <si>
    <t xml:space="preserve">Financial Education</t>
  </si>
  <si>
    <t xml:space="preserve">OnToCollege — Debt But No Degree: The College Dropout Crisis</t>
  </si>
  <si>
    <t>https://www.ontocollege.com/debt-but-no-degree-the-college-dropout-crisis/</t>
  </si>
  <si>
    <t xml:space="preserve">Educational Resource</t>
  </si>
  <si>
    <t xml:space="preserve">NCBI — University Dropout Systematic Review 2020-2024</t>
  </si>
  <si>
    <t>https://www.ncbi.nlm.nih.gov/pmc/articles/PMC11561383/</t>
  </si>
  <si>
    <t xml:space="preserve">Systematic Review</t>
  </si>
  <si>
    <t xml:space="preserve">EducationData.org — Financial Aid Statistics</t>
  </si>
  <si>
    <t>https://educationdata.org/financial-aid-statistics</t>
  </si>
  <si>
    <t xml:space="preserve">Statistical Database</t>
  </si>
  <si>
    <t xml:space="preserve">SoFi — Scholarships and Grants to Pay Off Student Loans</t>
  </si>
  <si>
    <t>https://www.sofi.com/learn/content/scholarships-and-grants-to-pay-student-loans/</t>
  </si>
  <si>
    <t xml:space="preserve">Financial Institution</t>
  </si>
  <si>
    <t xml:space="preserve">Bold.org — Grants to Pay Off Student Loans</t>
  </si>
  <si>
    <t>https://bold.org/scholarships/by-type/grants-to-pay-off-student-loans/</t>
  </si>
  <si>
    <t xml:space="preserve">Scholarship Platform</t>
  </si>
  <si>
    <t xml:space="preserve">Klassapps — Financial Exigency in 2024: Supporting Students</t>
  </si>
  <si>
    <t>https://klassapps.com/financial-exigency-in-2024-supporting-students-through-unforeseen-challenges/</t>
  </si>
  <si>
    <t xml:space="preserve">EdTech Resource</t>
  </si>
  <si>
    <t xml:space="preserve">CORPUS STATISTICS</t>
  </si>
  <si>
    <t>Metric</t>
  </si>
  <si>
    <t>Value</t>
  </si>
  <si>
    <t xml:space="preserve">Total Questions</t>
  </si>
  <si>
    <t xml:space="preserve">Total Categories</t>
  </si>
  <si>
    <t xml:space="preserve">Peer-reviewed Sources</t>
  </si>
  <si>
    <t xml:space="preserve">Industry/Survey Sources</t>
  </si>
  <si>
    <t xml:space="preserve">Mental Health Resources</t>
  </si>
  <si>
    <t xml:space="preserve">Financial Education Resources</t>
  </si>
  <si>
    <t xml:space="preserve">Total Unique Sources</t>
  </si>
  <si>
    <t xml:space="preserve">Year Range of Sources</t>
  </si>
  <si>
    <t>2021–2025</t>
  </si>
  <si>
    <t xml:space="preserve">Primary Geography</t>
  </si>
  <si>
    <t xml:space="preserve">Global (U.S., UK, Lebanon, Pakistan, Australia)</t>
  </si>
  <si>
    <t xml:space="preserve">Questions per Category (avg)</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</si>
</sst>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15">
    <font>
      <sz val="11.000000"/>
      <color theme="1"/>
      <name val="Calibri"/>
      <scheme val="minor"/>
    </font>
    <font>
      <b/>
      <sz val="14.000000"/>
      <color indexed="65"/>
      <name val="Arial"/>
    </font>
    <font>
      <i/>
      <sz val="10.000000"/>
      <color rgb="FF555555"/>
      <name val="Arial"/>
    </font>
    <font>
      <b/>
      <sz val="11.000000"/>
      <color indexed="65"/>
      <name val="Arial"/>
    </font>
    <font>
      <b/>
      <sz val="10.000000"/>
      <color indexed="65"/>
      <name val="Arial"/>
    </font>
    <font>
      <b/>
      <sz val="10.000000"/>
      <color rgb="FF2E7DBF"/>
      <name val="Arial"/>
    </font>
    <font>
      <b/>
      <sz val="9.000000"/>
      <color rgb="FF1A3557"/>
      <name val="Arial"/>
    </font>
    <font>
      <b/>
      <sz val="10.000000"/>
      <color rgb="FF1A1A1A"/>
      <name val="Arial"/>
    </font>
    <font>
      <sz val="9.000000"/>
      <color rgb="FF1A1A1A"/>
      <name val="Arial"/>
    </font>
    <font>
      <sz val="9.000000"/>
      <color rgb="FF1A3557"/>
      <name val="Arial"/>
    </font>
    <font>
      <i/>
      <sz val="8.000000"/>
      <color rgb="FF0070C0"/>
      <name val="Arial"/>
    </font>
    <font>
      <b/>
      <sz val="13.000000"/>
      <color indexed="65"/>
      <name val="Arial"/>
    </font>
    <font>
      <sz val="9.000000"/>
      <name val="Arial"/>
    </font>
    <font>
      <i/>
      <sz val="9.000000"/>
      <color rgb="FF0070C0"/>
      <name val="Arial"/>
    </font>
    <font>
      <sz val="10.000000"/>
      <name val="Arial"/>
    </font>
  </fonts>
  <fills count="6">
    <fill>
      <patternFill patternType="none"/>
    </fill>
    <fill>
      <patternFill patternType="gray125"/>
    </fill>
    <fill>
      <patternFill patternType="solid">
        <fgColor rgb="FF1A3557"/>
      </patternFill>
    </fill>
    <fill>
      <patternFill patternType="solid">
        <fgColor rgb="FF2E7DBF"/>
      </patternFill>
    </fill>
    <fill>
      <patternFill patternType="solid">
        <fgColor indexed="65"/>
      </patternFill>
    </fill>
    <fill>
      <patternFill patternType="solid">
        <fgColor rgb="FFEBF4FF"/>
      </patternFill>
    </fill>
  </fills>
  <borders count="4">
    <border>
      <left style="none"/>
      <right style="none"/>
      <top style="none"/>
      <bottom style="none"/>
      <diagonal style="none"/>
    </border>
    <border>
      <left style="thin">
        <color rgb="FFB0C4DE"/>
      </left>
      <right style="thin">
        <color rgb="FFB0C4DE"/>
      </right>
      <top style="thin">
        <color rgb="FFB0C4DE"/>
      </top>
      <bottom style="thin">
        <color rgb="FFB0C4DE"/>
      </bottom>
      <diagonal style="none"/>
    </border>
    <border>
      <left style="none"/>
      <right style="none"/>
      <top style="thin">
        <color rgb="FFB0C4DE"/>
      </top>
      <bottom style="thin">
        <color rgb="FFB0C4DE"/>
      </bottom>
      <diagonal style="none"/>
    </border>
    <border>
      <left style="none"/>
      <right style="thin">
        <color rgb="FFB0C4DE"/>
      </right>
      <top style="thin">
        <color rgb="FFB0C4DE"/>
      </top>
      <bottom style="thin">
        <color rgb="FFB0C4DE"/>
      </bottom>
      <diagonal style="none"/>
    </border>
  </borders>
  <cellStyleXfs count="1">
    <xf fontId="0" fillId="0" borderId="0" numFmtId="0" applyNumberFormat="1" applyFont="1" applyFill="1" applyBorder="1"/>
  </cellStyleXfs>
  <cellXfs count="32">
    <xf fontId="0" fillId="0" borderId="0" numFmtId="0" xfId="0" quotePrefix="0" pivotButton="0"/>
    <xf fontId="1" fillId="2" borderId="0" numFmtId="0" xfId="0" applyFont="1" applyFill="1" applyAlignment="1" quotePrefix="0" pivotButton="0">
      <alignment horizontal="center" vertical="center" wrapText="1"/>
    </xf>
    <xf fontId="2" fillId="0" borderId="0" numFmtId="0" xfId="0" applyFont="1" applyAlignment="1" quotePrefix="0" pivotButton="0">
      <alignment horizontal="center" vertical="center"/>
    </xf>
    <xf fontId="3" fillId="3" borderId="1" numFmtId="0" xfId="0" applyFont="1" applyFill="1" applyBorder="1" applyAlignment="1" quotePrefix="0" pivotButton="0">
      <alignment horizontal="center" vertical="center" wrapText="1"/>
    </xf>
    <xf fontId="0" fillId="3" borderId="1" numFmtId="0" xfId="0" applyFill="1" applyBorder="1" quotePrefix="0" pivotButton="0"/>
    <xf fontId="4" fillId="3" borderId="1" numFmtId="0" xfId="0" applyFont="1" applyFill="1" applyBorder="1" applyAlignment="1" quotePrefix="0" pivotButton="0">
      <alignment horizontal="left" vertical="center"/>
    </xf>
    <xf fontId="0" fillId="0" borderId="2" numFmtId="0" xfId="0" applyBorder="1" quotePrefix="0" pivotButton="0"/>
    <xf fontId="0" fillId="0" borderId="3" numFmtId="0" xfId="0" applyBorder="1" quotePrefix="0" pivotButton="0"/>
    <xf fontId="5" fillId="4" borderId="1" numFmtId="0" xfId="0" applyFont="1" applyFill="1" applyBorder="1" applyAlignment="1" quotePrefix="0" pivotButton="0">
      <alignment horizontal="center" vertical="center" wrapText="1"/>
    </xf>
    <xf fontId="6" fillId="4" borderId="1" numFmtId="0" xfId="0" applyFont="1" applyFill="1" applyBorder="1" applyAlignment="1" quotePrefix="0" pivotButton="0">
      <alignment horizontal="center" vertical="center" wrapText="1"/>
    </xf>
    <xf fontId="7" fillId="4" borderId="1" numFmtId="0" xfId="0" applyFont="1" applyFill="1" applyBorder="1" applyAlignment="1" quotePrefix="0" pivotButton="0">
      <alignment horizontal="left" vertical="top" wrapText="1"/>
    </xf>
    <xf fontId="8" fillId="4" borderId="1" numFmtId="0" xfId="0" applyFont="1" applyFill="1" applyBorder="1" applyAlignment="1" quotePrefix="0" pivotButton="0">
      <alignment horizontal="left" vertical="top" wrapText="1"/>
    </xf>
    <xf fontId="9" fillId="4" borderId="1" numFmtId="0" xfId="0" applyFont="1" applyFill="1" applyBorder="1" applyAlignment="1" quotePrefix="0" pivotButton="0">
      <alignment horizontal="left" vertical="top" wrapText="1"/>
    </xf>
    <xf fontId="10" fillId="4" borderId="1" numFmtId="0" xfId="0" applyFont="1" applyFill="1" applyBorder="1" applyAlignment="1" quotePrefix="0" pivotButton="0">
      <alignment horizontal="left" vertical="top" wrapText="1"/>
    </xf>
    <xf fontId="5" fillId="5" borderId="1" numFmtId="0" xfId="0" applyFont="1" applyFill="1" applyBorder="1" applyAlignment="1" quotePrefix="0" pivotButton="0">
      <alignment horizontal="center" vertical="center" wrapText="1"/>
    </xf>
    <xf fontId="6" fillId="5" borderId="1" numFmtId="0" xfId="0" applyFont="1" applyFill="1" applyBorder="1" applyAlignment="1" quotePrefix="0" pivotButton="0">
      <alignment horizontal="center" vertical="center" wrapText="1"/>
    </xf>
    <xf fontId="7" fillId="5" borderId="1" numFmtId="0" xfId="0" applyFont="1" applyFill="1" applyBorder="1" applyAlignment="1" quotePrefix="0" pivotButton="0">
      <alignment horizontal="left" vertical="top" wrapText="1"/>
    </xf>
    <xf fontId="8" fillId="5" borderId="1" numFmtId="0" xfId="0" applyFont="1" applyFill="1" applyBorder="1" applyAlignment="1" quotePrefix="0" pivotButton="0">
      <alignment horizontal="left" vertical="top" wrapText="1"/>
    </xf>
    <xf fontId="9" fillId="5" borderId="1" numFmtId="0" xfId="0" applyFont="1" applyFill="1" applyBorder="1" applyAlignment="1" quotePrefix="0" pivotButton="0">
      <alignment horizontal="left" vertical="top" wrapText="1"/>
    </xf>
    <xf fontId="10" fillId="5" borderId="1" numFmtId="0" xfId="0" applyFont="1" applyFill="1" applyBorder="1" applyAlignment="1" quotePrefix="0" pivotButton="0">
      <alignment horizontal="left" vertical="top" wrapText="1"/>
    </xf>
    <xf fontId="11" fillId="2" borderId="0" numFmtId="0" xfId="0" applyFont="1" applyFill="1" applyAlignment="1" quotePrefix="0" pivotButton="0">
      <alignment horizontal="center" vertical="center"/>
    </xf>
    <xf fontId="4" fillId="3" borderId="1" numFmtId="0" xfId="0" applyFont="1" applyFill="1" applyBorder="1" applyAlignment="1" quotePrefix="0" pivotButton="0">
      <alignment horizontal="center" vertical="center"/>
    </xf>
    <xf fontId="5" fillId="5" borderId="1" numFmtId="0" xfId="0" applyFont="1" applyFill="1" applyBorder="1" applyAlignment="1" quotePrefix="0" pivotButton="0">
      <alignment horizontal="center" vertical="center"/>
    </xf>
    <xf fontId="12" fillId="5" borderId="1" numFmtId="0" xfId="0" applyFont="1" applyFill="1" applyBorder="1" applyAlignment="1" quotePrefix="0" pivotButton="0">
      <alignment horizontal="left" vertical="center" wrapText="1"/>
    </xf>
    <xf fontId="13" fillId="5" borderId="1" numFmtId="0" xfId="0" applyFont="1" applyFill="1" applyBorder="1" applyAlignment="1" quotePrefix="0" pivotButton="0">
      <alignment horizontal="left" vertical="center" wrapText="1"/>
    </xf>
    <xf fontId="5" fillId="4" borderId="1" numFmtId="0" xfId="0" applyFont="1" applyFill="1" applyBorder="1" applyAlignment="1" quotePrefix="0" pivotButton="0">
      <alignment horizontal="center" vertical="center"/>
    </xf>
    <xf fontId="12" fillId="4" borderId="1" numFmtId="0" xfId="0" applyFont="1" applyFill="1" applyBorder="1" applyAlignment="1" quotePrefix="0" pivotButton="0">
      <alignment horizontal="left" vertical="center" wrapText="1"/>
    </xf>
    <xf fontId="13" fillId="4" borderId="1" numFmtId="0" xfId="0" applyFont="1" applyFill="1" applyBorder="1" applyAlignment="1" quotePrefix="0" pivotButton="0">
      <alignment horizontal="left" vertical="center" wrapText="1"/>
    </xf>
    <xf fontId="14" fillId="4" borderId="1" numFmtId="0" xfId="0" applyFont="1" applyFill="1" applyBorder="1" applyAlignment="1" quotePrefix="0" pivotButton="0">
      <alignment horizontal="left" vertical="center"/>
    </xf>
    <xf fontId="14" fillId="4" borderId="1" numFmtId="0" xfId="0" applyFont="1" applyFill="1" applyBorder="1" applyAlignment="1" quotePrefix="0" pivotButton="0">
      <alignment horizontal="center" vertical="center"/>
    </xf>
    <xf fontId="14" fillId="5" borderId="1" numFmtId="0" xfId="0" applyFont="1" applyFill="1" applyBorder="1" applyAlignment="1" quotePrefix="0" pivotButton="0">
      <alignment horizontal="left" vertical="center"/>
    </xf>
    <xf fontId="14" fillId="5" borderId="1" numFmtId="0" xfId="0" applyFont="1" applyFill="1" applyBorder="1" applyAlignment="1" quotePrefix="0" pivotButton="0">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haredStrings" Target="sharedStrings.xml"/><Relationship  Id="rId6"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Arial"/>
        <a:cs typeface="Arial"/>
      </a:minorFont>
    </a:fontScheme>
    <a:fmtScheme name="Offic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topLeftCell="A12" zoomScale="100" workbookViewId="0">
      <selection activeCell="A1" activeCellId="0" sqref="A1"/>
    </sheetView>
  </sheetViews>
  <sheetFormatPr baseColWidth="8" defaultRowHeight="14.25"/>
  <cols>
    <col customWidth="1" min="1" max="1" width="5"/>
    <col customWidth="1" min="2" max="2" width="22"/>
    <col customWidth="1" min="3" max="3" width="40"/>
    <col customWidth="1" min="4" max="4" width="80"/>
    <col customWidth="1" min="5" max="5" width="35"/>
    <col customWidth="1" min="6" max="6" width="50"/>
  </cols>
  <sheetData>
    <row r="1" ht="30" customHeight="1">
      <c r="A1" s="1" t="s">
        <v>0</v>
      </c>
    </row>
    <row r="2" ht="18" customHeight="1">
      <c r="A2" s="2" t="s">
        <v>1</v>
      </c>
    </row>
    <row r="3" ht="22" customHeight="1">
      <c r="A3" s="3" t="s">
        <v>2</v>
      </c>
      <c r="B3" s="3" t="s">
        <v>3</v>
      </c>
      <c r="C3" s="3" t="s">
        <v>4</v>
      </c>
      <c r="D3" s="3" t="s">
        <v>5</v>
      </c>
      <c r="E3" s="3" t="s">
        <v>6</v>
      </c>
      <c r="F3" s="3" t="s">
        <v>7</v>
      </c>
    </row>
    <row r="4" ht="16" customHeight="1">
      <c r="A4" s="4"/>
      <c r="B4" s="5" t="s">
        <v>8</v>
      </c>
      <c r="C4" s="6"/>
      <c r="D4" s="6"/>
      <c r="E4" s="6"/>
      <c r="F4" s="7"/>
    </row>
    <row r="5" ht="90" customHeight="1">
      <c r="A5" s="8">
        <v>2</v>
      </c>
      <c r="B5" s="9" t="s">
        <v>9</v>
      </c>
      <c r="C5" s="10" t="s">
        <v>10</v>
      </c>
      <c r="D5" s="11" t="s">
        <v>11</v>
      </c>
      <c r="E5" s="12" t="s">
        <v>12</v>
      </c>
      <c r="F5" s="13" t="s">
        <v>13</v>
      </c>
    </row>
    <row r="6" ht="90" customHeight="1">
      <c r="A6" s="14">
        <v>3</v>
      </c>
      <c r="B6" s="15" t="s">
        <v>9</v>
      </c>
      <c r="C6" s="16" t="s">
        <v>14</v>
      </c>
      <c r="D6" s="17" t="s">
        <v>15</v>
      </c>
      <c r="E6" s="18" t="s">
        <v>16</v>
      </c>
      <c r="F6" s="19" t="s">
        <v>17</v>
      </c>
    </row>
    <row r="7" ht="90" customHeight="1">
      <c r="A7" s="8">
        <v>4</v>
      </c>
      <c r="B7" s="9" t="s">
        <v>9</v>
      </c>
      <c r="C7" s="10" t="s">
        <v>18</v>
      </c>
      <c r="D7" s="11" t="s">
        <v>19</v>
      </c>
      <c r="E7" s="12" t="s">
        <v>20</v>
      </c>
      <c r="F7" s="13" t="s">
        <v>21</v>
      </c>
    </row>
    <row r="8" ht="90" customHeight="1">
      <c r="A8" s="14">
        <v>5</v>
      </c>
      <c r="B8" s="15" t="s">
        <v>9</v>
      </c>
      <c r="C8" s="16" t="s">
        <v>22</v>
      </c>
      <c r="D8" s="17" t="s">
        <v>23</v>
      </c>
      <c r="E8" s="18" t="s">
        <v>24</v>
      </c>
      <c r="F8" s="19" t="s">
        <v>25</v>
      </c>
    </row>
    <row r="9" ht="16" customHeight="1">
      <c r="A9" s="4"/>
      <c r="B9" s="5" t="s">
        <v>26</v>
      </c>
      <c r="C9" s="6"/>
      <c r="D9" s="6"/>
      <c r="E9" s="6"/>
      <c r="F9" s="7"/>
    </row>
    <row r="10" ht="90" customHeight="1">
      <c r="A10" s="14">
        <v>7</v>
      </c>
      <c r="B10" s="15" t="s">
        <v>27</v>
      </c>
      <c r="C10" s="16" t="s">
        <v>28</v>
      </c>
      <c r="D10" s="17" t="s">
        <v>29</v>
      </c>
      <c r="E10" s="18" t="s">
        <v>30</v>
      </c>
      <c r="F10" s="19" t="s">
        <v>31</v>
      </c>
    </row>
    <row r="11" ht="90" customHeight="1">
      <c r="A11" s="8">
        <v>8</v>
      </c>
      <c r="B11" s="9" t="s">
        <v>27</v>
      </c>
      <c r="C11" s="10" t="s">
        <v>32</v>
      </c>
      <c r="D11" s="11" t="s">
        <v>33</v>
      </c>
      <c r="E11" s="12" t="s">
        <v>34</v>
      </c>
      <c r="F11" s="13" t="s">
        <v>35</v>
      </c>
    </row>
    <row r="12" ht="90" customHeight="1">
      <c r="A12" s="14">
        <v>9</v>
      </c>
      <c r="B12" s="15" t="s">
        <v>27</v>
      </c>
      <c r="C12" s="16" t="s">
        <v>36</v>
      </c>
      <c r="D12" s="17" t="s">
        <v>37</v>
      </c>
      <c r="E12" s="18" t="s">
        <v>38</v>
      </c>
      <c r="F12" s="19" t="s">
        <v>39</v>
      </c>
    </row>
    <row r="13" ht="90" customHeight="1">
      <c r="A13" s="8">
        <v>10</v>
      </c>
      <c r="B13" s="9" t="s">
        <v>27</v>
      </c>
      <c r="C13" s="10" t="s">
        <v>40</v>
      </c>
      <c r="D13" s="11" t="s">
        <v>41</v>
      </c>
      <c r="E13" s="12" t="s">
        <v>42</v>
      </c>
      <c r="F13" s="13" t="s">
        <v>43</v>
      </c>
    </row>
    <row r="14" ht="16" customHeight="1">
      <c r="A14" s="4"/>
      <c r="B14" s="5" t="s">
        <v>44</v>
      </c>
      <c r="C14" s="6"/>
      <c r="D14" s="6"/>
      <c r="E14" s="6"/>
      <c r="F14" s="7"/>
    </row>
    <row r="15" ht="90" customHeight="1">
      <c r="A15" s="8">
        <v>12</v>
      </c>
      <c r="B15" s="9" t="s">
        <v>45</v>
      </c>
      <c r="C15" s="10" t="s">
        <v>46</v>
      </c>
      <c r="D15" s="11" t="s">
        <v>47</v>
      </c>
      <c r="E15" s="12" t="s">
        <v>48</v>
      </c>
      <c r="F15" s="13" t="s">
        <v>49</v>
      </c>
    </row>
    <row r="16" ht="90" customHeight="1">
      <c r="A16" s="14">
        <v>13</v>
      </c>
      <c r="B16" s="15" t="s">
        <v>45</v>
      </c>
      <c r="C16" s="16" t="s">
        <v>50</v>
      </c>
      <c r="D16" s="17" t="s">
        <v>51</v>
      </c>
      <c r="E16" s="18" t="s">
        <v>52</v>
      </c>
      <c r="F16" s="19" t="s">
        <v>53</v>
      </c>
    </row>
    <row r="17" ht="90" customHeight="1">
      <c r="A17" s="8">
        <v>14</v>
      </c>
      <c r="B17" s="9" t="s">
        <v>45</v>
      </c>
      <c r="C17" s="10" t="s">
        <v>54</v>
      </c>
      <c r="D17" s="11" t="s">
        <v>55</v>
      </c>
      <c r="E17" s="12" t="s">
        <v>56</v>
      </c>
      <c r="F17" s="13" t="s">
        <v>57</v>
      </c>
    </row>
    <row r="18" ht="90" customHeight="1">
      <c r="A18" s="14">
        <v>15</v>
      </c>
      <c r="B18" s="15" t="s">
        <v>45</v>
      </c>
      <c r="C18" s="16" t="s">
        <v>58</v>
      </c>
      <c r="D18" s="17" t="s">
        <v>59</v>
      </c>
      <c r="E18" s="18" t="s">
        <v>60</v>
      </c>
      <c r="F18" s="19" t="s">
        <v>61</v>
      </c>
    </row>
    <row r="19" ht="16" customHeight="1">
      <c r="A19" s="4"/>
      <c r="B19" s="5" t="s">
        <v>62</v>
      </c>
      <c r="C19" s="6"/>
      <c r="D19" s="6"/>
      <c r="E19" s="6"/>
      <c r="F19" s="7"/>
    </row>
    <row r="20" ht="90" customHeight="1">
      <c r="A20" s="14">
        <v>17</v>
      </c>
      <c r="B20" s="15" t="s">
        <v>63</v>
      </c>
      <c r="C20" s="16" t="s">
        <v>64</v>
      </c>
      <c r="D20" s="17" t="s">
        <v>65</v>
      </c>
      <c r="E20" s="18" t="s">
        <v>66</v>
      </c>
      <c r="F20" s="19" t="s">
        <v>67</v>
      </c>
    </row>
    <row r="21" ht="90" customHeight="1">
      <c r="A21" s="8">
        <v>18</v>
      </c>
      <c r="B21" s="9" t="s">
        <v>63</v>
      </c>
      <c r="C21" s="10" t="s">
        <v>68</v>
      </c>
      <c r="D21" s="11" t="s">
        <v>69</v>
      </c>
      <c r="E21" s="12" t="s">
        <v>70</v>
      </c>
      <c r="F21" s="13" t="s">
        <v>71</v>
      </c>
    </row>
    <row r="22" ht="90" customHeight="1">
      <c r="A22" s="14">
        <v>19</v>
      </c>
      <c r="B22" s="15" t="s">
        <v>63</v>
      </c>
      <c r="C22" s="16" t="s">
        <v>72</v>
      </c>
      <c r="D22" s="17" t="s">
        <v>73</v>
      </c>
      <c r="E22" s="18" t="s">
        <v>74</v>
      </c>
      <c r="F22" s="19" t="s">
        <v>75</v>
      </c>
    </row>
    <row r="23" ht="90" customHeight="1">
      <c r="A23" s="8">
        <v>20</v>
      </c>
      <c r="B23" s="9" t="s">
        <v>63</v>
      </c>
      <c r="C23" s="10" t="s">
        <v>76</v>
      </c>
      <c r="D23" s="11" t="s">
        <v>77</v>
      </c>
      <c r="E23" s="12" t="s">
        <v>78</v>
      </c>
      <c r="F23" s="13" t="s">
        <v>79</v>
      </c>
    </row>
    <row r="24" ht="16" customHeight="1">
      <c r="A24" s="4"/>
      <c r="B24" s="5" t="s">
        <v>80</v>
      </c>
      <c r="C24" s="6"/>
      <c r="D24" s="6"/>
      <c r="E24" s="6"/>
      <c r="F24" s="7"/>
    </row>
    <row r="25" ht="90" customHeight="1">
      <c r="A25" s="8">
        <v>22</v>
      </c>
      <c r="B25" s="9" t="s">
        <v>81</v>
      </c>
      <c r="C25" s="10" t="s">
        <v>82</v>
      </c>
      <c r="D25" s="11" t="s">
        <v>83</v>
      </c>
      <c r="E25" s="12" t="s">
        <v>84</v>
      </c>
      <c r="F25" s="13" t="s">
        <v>85</v>
      </c>
    </row>
    <row r="26" ht="90" customHeight="1">
      <c r="A26" s="14">
        <v>23</v>
      </c>
      <c r="B26" s="15" t="s">
        <v>81</v>
      </c>
      <c r="C26" s="16" t="s">
        <v>86</v>
      </c>
      <c r="D26" s="17" t="s">
        <v>87</v>
      </c>
      <c r="E26" s="18" t="s">
        <v>88</v>
      </c>
      <c r="F26" s="19" t="s">
        <v>89</v>
      </c>
    </row>
    <row r="27" ht="90" customHeight="1">
      <c r="A27" s="8">
        <v>24</v>
      </c>
      <c r="B27" s="9" t="s">
        <v>81</v>
      </c>
      <c r="C27" s="10" t="s">
        <v>90</v>
      </c>
      <c r="D27" s="11" t="s">
        <v>91</v>
      </c>
      <c r="E27" s="12" t="s">
        <v>92</v>
      </c>
      <c r="F27" s="13" t="s">
        <v>93</v>
      </c>
    </row>
    <row r="28" ht="90" customHeight="1">
      <c r="A28" s="14">
        <v>25</v>
      </c>
      <c r="B28" s="15" t="s">
        <v>81</v>
      </c>
      <c r="C28" s="16" t="s">
        <v>94</v>
      </c>
      <c r="D28" s="17" t="s">
        <v>95</v>
      </c>
      <c r="E28" s="18" t="s">
        <v>96</v>
      </c>
      <c r="F28" s="19" t="s">
        <v>97</v>
      </c>
    </row>
    <row r="29" ht="16" customHeight="1">
      <c r="A29" s="4"/>
      <c r="B29" s="5" t="s">
        <v>98</v>
      </c>
      <c r="C29" s="6"/>
      <c r="D29" s="6"/>
      <c r="E29" s="6"/>
      <c r="F29" s="7"/>
    </row>
    <row r="30" ht="90" customHeight="1">
      <c r="A30" s="14">
        <v>27</v>
      </c>
      <c r="B30" s="15" t="s">
        <v>99</v>
      </c>
      <c r="C30" s="16" t="s">
        <v>100</v>
      </c>
      <c r="D30" s="17" t="s">
        <v>101</v>
      </c>
      <c r="E30" s="18" t="s">
        <v>102</v>
      </c>
      <c r="F30" s="19" t="s">
        <v>103</v>
      </c>
    </row>
    <row r="31" ht="90" customHeight="1">
      <c r="A31" s="8">
        <v>28</v>
      </c>
      <c r="B31" s="9" t="s">
        <v>99</v>
      </c>
      <c r="C31" s="10" t="s">
        <v>104</v>
      </c>
      <c r="D31" s="11" t="s">
        <v>105</v>
      </c>
      <c r="E31" s="12" t="s">
        <v>106</v>
      </c>
      <c r="F31" s="13" t="s">
        <v>93</v>
      </c>
    </row>
    <row r="32" ht="90" customHeight="1">
      <c r="A32" s="14">
        <v>29</v>
      </c>
      <c r="B32" s="15" t="s">
        <v>99</v>
      </c>
      <c r="C32" s="16" t="s">
        <v>107</v>
      </c>
      <c r="D32" s="17" t="s">
        <v>108</v>
      </c>
      <c r="E32" s="18" t="s">
        <v>109</v>
      </c>
      <c r="F32" s="19" t="s">
        <v>110</v>
      </c>
    </row>
    <row r="33" ht="90" customHeight="1">
      <c r="A33" s="8">
        <v>30</v>
      </c>
      <c r="B33" s="9" t="s">
        <v>99</v>
      </c>
      <c r="C33" s="10" t="s">
        <v>111</v>
      </c>
      <c r="D33" s="11" t="s">
        <v>112</v>
      </c>
      <c r="E33" s="12" t="s">
        <v>113</v>
      </c>
      <c r="F33" s="13" t="s">
        <v>114</v>
      </c>
    </row>
    <row r="34" ht="16" customHeight="1">
      <c r="A34" s="4"/>
      <c r="B34" s="5" t="s">
        <v>115</v>
      </c>
      <c r="C34" s="6"/>
      <c r="D34" s="6"/>
      <c r="E34" s="6"/>
      <c r="F34" s="7"/>
    </row>
    <row r="35" ht="90" customHeight="1">
      <c r="A35" s="8">
        <v>32</v>
      </c>
      <c r="B35" s="9" t="s">
        <v>116</v>
      </c>
      <c r="C35" s="10" t="s">
        <v>117</v>
      </c>
      <c r="D35" s="11" t="s">
        <v>118</v>
      </c>
      <c r="E35" s="12" t="s">
        <v>119</v>
      </c>
      <c r="F35" s="13" t="s">
        <v>120</v>
      </c>
    </row>
    <row r="36" ht="90" customHeight="1">
      <c r="A36" s="14">
        <v>33</v>
      </c>
      <c r="B36" s="15" t="s">
        <v>116</v>
      </c>
      <c r="C36" s="16" t="s">
        <v>121</v>
      </c>
      <c r="D36" s="17" t="s">
        <v>122</v>
      </c>
      <c r="E36" s="18" t="s">
        <v>123</v>
      </c>
      <c r="F36" s="19" t="s">
        <v>124</v>
      </c>
    </row>
    <row r="37" ht="90" customHeight="1">
      <c r="A37" s="8">
        <v>34</v>
      </c>
      <c r="B37" s="9" t="s">
        <v>116</v>
      </c>
      <c r="C37" s="10" t="s">
        <v>125</v>
      </c>
      <c r="D37" s="11" t="s">
        <v>126</v>
      </c>
      <c r="E37" s="12" t="s">
        <v>127</v>
      </c>
      <c r="F37" s="13" t="s">
        <v>128</v>
      </c>
    </row>
    <row r="38" ht="90" customHeight="1">
      <c r="A38" s="14">
        <v>35</v>
      </c>
      <c r="B38" s="15" t="s">
        <v>116</v>
      </c>
      <c r="C38" s="16" t="s">
        <v>129</v>
      </c>
      <c r="D38" s="17" t="s">
        <v>130</v>
      </c>
      <c r="E38" s="18" t="s">
        <v>131</v>
      </c>
      <c r="F38" s="19" t="s">
        <v>132</v>
      </c>
    </row>
    <row r="39" ht="16" customHeight="1">
      <c r="A39" s="4"/>
      <c r="B39" s="5" t="s">
        <v>133</v>
      </c>
      <c r="C39" s="6"/>
      <c r="D39" s="6"/>
      <c r="E39" s="6"/>
      <c r="F39" s="7"/>
    </row>
    <row r="40" ht="90" customHeight="1">
      <c r="A40" s="14">
        <v>37</v>
      </c>
      <c r="B40" s="15" t="s">
        <v>134</v>
      </c>
      <c r="C40" s="16" t="s">
        <v>135</v>
      </c>
      <c r="D40" s="17" t="s">
        <v>136</v>
      </c>
      <c r="E40" s="18" t="s">
        <v>137</v>
      </c>
      <c r="F40" s="19" t="s">
        <v>138</v>
      </c>
    </row>
    <row r="41" ht="90" customHeight="1">
      <c r="A41" s="8">
        <v>38</v>
      </c>
      <c r="B41" s="9" t="s">
        <v>134</v>
      </c>
      <c r="C41" s="10" t="s">
        <v>139</v>
      </c>
      <c r="D41" s="11" t="s">
        <v>140</v>
      </c>
      <c r="E41" s="12" t="s">
        <v>141</v>
      </c>
      <c r="F41" s="13" t="s">
        <v>142</v>
      </c>
    </row>
    <row r="42" ht="16" customHeight="1">
      <c r="A42" s="4"/>
      <c r="B42" s="5" t="s">
        <v>143</v>
      </c>
      <c r="C42" s="6"/>
      <c r="D42" s="6"/>
      <c r="E42" s="6"/>
      <c r="F42" s="7"/>
    </row>
    <row r="43" ht="90" customHeight="1">
      <c r="A43" s="8">
        <v>40</v>
      </c>
      <c r="B43" s="9" t="s">
        <v>144</v>
      </c>
      <c r="C43" s="10" t="s">
        <v>145</v>
      </c>
      <c r="D43" s="11" t="s">
        <v>146</v>
      </c>
      <c r="E43" s="12" t="s">
        <v>147</v>
      </c>
      <c r="F43" s="13" t="s">
        <v>148</v>
      </c>
    </row>
  </sheetData>
  <mergeCells count="11">
    <mergeCell ref="A1:F1"/>
    <mergeCell ref="A2:F2"/>
    <mergeCell ref="B4:F4"/>
    <mergeCell ref="B9:F9"/>
    <mergeCell ref="B14:F14"/>
    <mergeCell ref="B19:F19"/>
    <mergeCell ref="B24:F24"/>
    <mergeCell ref="B29:F29"/>
    <mergeCell ref="B34:F34"/>
    <mergeCell ref="B39:F39"/>
    <mergeCell ref="B42:F42"/>
  </mergeCells>
  <printOptions headings="0" gridLines="0"/>
  <pageMargins left="0.75" right="0.75" top="1" bottom="1" header="0.5" footer="0.5"/>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selection activeCell="A1" activeCellId="0" sqref="A1"/>
    </sheetView>
  </sheetViews>
  <sheetFormatPr baseColWidth="8" defaultRowHeight="15"/>
  <cols>
    <col customWidth="1" min="1" max="1" width="6"/>
    <col customWidth="1" min="2" max="2" width="45"/>
    <col customWidth="1" min="3" max="3" width="70"/>
    <col customWidth="1" min="4" max="4" width="30"/>
  </cols>
  <sheetData>
    <row r="1" ht="28" customHeight="1">
      <c r="A1" s="20" t="s">
        <v>149</v>
      </c>
    </row>
    <row r="2" ht="18" customHeight="1">
      <c r="A2" s="21" t="s">
        <v>2</v>
      </c>
      <c r="B2" s="21" t="s">
        <v>150</v>
      </c>
      <c r="C2" s="21" t="s">
        <v>151</v>
      </c>
      <c r="D2" s="21" t="s">
        <v>152</v>
      </c>
    </row>
    <row r="3" ht="30" customHeight="1">
      <c r="A3" s="22">
        <v>1</v>
      </c>
      <c r="B3" s="23" t="s">
        <v>153</v>
      </c>
      <c r="C3" s="24" t="s">
        <v>154</v>
      </c>
      <c r="D3" s="23" t="s">
        <v>155</v>
      </c>
    </row>
    <row r="4" ht="30" customHeight="1">
      <c r="A4" s="25">
        <v>2</v>
      </c>
      <c r="B4" s="26" t="s">
        <v>156</v>
      </c>
      <c r="C4" s="27" t="s">
        <v>157</v>
      </c>
      <c r="D4" s="26" t="s">
        <v>158</v>
      </c>
    </row>
    <row r="5" ht="30" customHeight="1">
      <c r="A5" s="22">
        <v>3</v>
      </c>
      <c r="B5" s="23" t="s">
        <v>159</v>
      </c>
      <c r="C5" s="24" t="s">
        <v>160</v>
      </c>
      <c r="D5" s="23" t="s">
        <v>155</v>
      </c>
    </row>
    <row r="6" ht="30" customHeight="1">
      <c r="A6" s="25">
        <v>4</v>
      </c>
      <c r="B6" s="26" t="s">
        <v>161</v>
      </c>
      <c r="C6" s="27" t="s">
        <v>162</v>
      </c>
      <c r="D6" s="26" t="s">
        <v>163</v>
      </c>
    </row>
    <row r="7" ht="30" customHeight="1">
      <c r="A7" s="22">
        <v>5</v>
      </c>
      <c r="B7" s="23" t="s">
        <v>164</v>
      </c>
      <c r="C7" s="24" t="s">
        <v>165</v>
      </c>
      <c r="D7" s="23" t="s">
        <v>166</v>
      </c>
    </row>
    <row r="8" ht="30" customHeight="1">
      <c r="A8" s="25">
        <v>6</v>
      </c>
      <c r="B8" s="26" t="s">
        <v>167</v>
      </c>
      <c r="C8" s="27" t="s">
        <v>168</v>
      </c>
      <c r="D8" s="26" t="s">
        <v>169</v>
      </c>
    </row>
    <row r="9" ht="30" customHeight="1">
      <c r="A9" s="22">
        <v>7</v>
      </c>
      <c r="B9" s="23" t="s">
        <v>170</v>
      </c>
      <c r="C9" s="24" t="s">
        <v>171</v>
      </c>
      <c r="D9" s="23" t="s">
        <v>172</v>
      </c>
    </row>
    <row r="10" ht="30" customHeight="1">
      <c r="A10" s="25">
        <v>8</v>
      </c>
      <c r="B10" s="26" t="s">
        <v>173</v>
      </c>
      <c r="C10" s="27" t="s">
        <v>174</v>
      </c>
      <c r="D10" s="26" t="s">
        <v>175</v>
      </c>
    </row>
    <row r="11" ht="30" customHeight="1">
      <c r="A11" s="22">
        <v>9</v>
      </c>
      <c r="B11" s="23" t="s">
        <v>176</v>
      </c>
      <c r="C11" s="24" t="s">
        <v>177</v>
      </c>
      <c r="D11" s="23" t="s">
        <v>178</v>
      </c>
    </row>
    <row r="12" ht="30" customHeight="1">
      <c r="A12" s="25">
        <v>10</v>
      </c>
      <c r="B12" s="26" t="s">
        <v>179</v>
      </c>
      <c r="C12" s="27" t="s">
        <v>180</v>
      </c>
      <c r="D12" s="26" t="s">
        <v>178</v>
      </c>
    </row>
    <row r="13" ht="30" customHeight="1">
      <c r="A13" s="22">
        <v>11</v>
      </c>
      <c r="B13" s="23" t="s">
        <v>181</v>
      </c>
      <c r="C13" s="24" t="s">
        <v>182</v>
      </c>
      <c r="D13" s="23" t="s">
        <v>183</v>
      </c>
    </row>
    <row r="14" ht="30" customHeight="1">
      <c r="A14" s="25">
        <v>12</v>
      </c>
      <c r="B14" s="26" t="s">
        <v>184</v>
      </c>
      <c r="C14" s="27" t="s">
        <v>185</v>
      </c>
      <c r="D14" s="26" t="s">
        <v>186</v>
      </c>
    </row>
    <row r="15" ht="30" customHeight="1">
      <c r="A15" s="22">
        <v>13</v>
      </c>
      <c r="B15" s="23" t="s">
        <v>187</v>
      </c>
      <c r="C15" s="24" t="s">
        <v>188</v>
      </c>
      <c r="D15" s="23" t="s">
        <v>189</v>
      </c>
    </row>
    <row r="16" ht="30" customHeight="1">
      <c r="A16" s="25">
        <v>14</v>
      </c>
      <c r="B16" s="26" t="s">
        <v>190</v>
      </c>
      <c r="C16" s="27" t="s">
        <v>191</v>
      </c>
      <c r="D16" s="26" t="s">
        <v>192</v>
      </c>
    </row>
    <row r="17" ht="30" customHeight="1">
      <c r="A17" s="22">
        <v>15</v>
      </c>
      <c r="B17" s="23" t="s">
        <v>193</v>
      </c>
      <c r="C17" s="24" t="s">
        <v>194</v>
      </c>
      <c r="D17" s="23" t="s">
        <v>195</v>
      </c>
    </row>
    <row r="18" ht="30" customHeight="1">
      <c r="A18" s="25">
        <v>16</v>
      </c>
      <c r="B18" s="26" t="s">
        <v>196</v>
      </c>
      <c r="C18" s="27" t="s">
        <v>197</v>
      </c>
      <c r="D18" s="26" t="s">
        <v>198</v>
      </c>
    </row>
    <row r="19" ht="30" customHeight="1">
      <c r="A19" s="22">
        <v>17</v>
      </c>
      <c r="B19" s="23" t="s">
        <v>199</v>
      </c>
      <c r="C19" s="24" t="s">
        <v>200</v>
      </c>
      <c r="D19" s="23" t="s">
        <v>201</v>
      </c>
    </row>
    <row r="20" ht="30" customHeight="1">
      <c r="A20" s="25">
        <v>18</v>
      </c>
      <c r="B20" s="26" t="s">
        <v>202</v>
      </c>
      <c r="C20" s="27" t="s">
        <v>203</v>
      </c>
      <c r="D20" s="26" t="s">
        <v>204</v>
      </c>
    </row>
    <row r="21" ht="30" customHeight="1">
      <c r="A21" s="22">
        <v>19</v>
      </c>
      <c r="B21" s="23" t="s">
        <v>205</v>
      </c>
      <c r="C21" s="24" t="s">
        <v>206</v>
      </c>
      <c r="D21" s="23" t="s">
        <v>207</v>
      </c>
    </row>
    <row r="22" ht="30" customHeight="1">
      <c r="A22" s="25">
        <v>20</v>
      </c>
      <c r="B22" s="26" t="s">
        <v>208</v>
      </c>
      <c r="C22" s="27" t="s">
        <v>209</v>
      </c>
      <c r="D22" s="26" t="s">
        <v>210</v>
      </c>
    </row>
  </sheetData>
  <mergeCells count="1">
    <mergeCell ref="A1:D1"/>
  </mergeCells>
  <printOptions headings="0" gridLines="0"/>
  <pageMargins left="0.75" right="0.75" top="1" bottom="1" header="0.5" footer="0.5"/>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selection activeCell="A1" activeCellId="0" sqref="A1"/>
    </sheetView>
  </sheetViews>
  <sheetFormatPr baseColWidth="8" defaultRowHeight="15"/>
  <cols>
    <col customWidth="1" min="1" max="1" width="35"/>
    <col customWidth="1" min="2" max="2" width="20"/>
  </cols>
  <sheetData>
    <row r="1" ht="28" customHeight="1">
      <c r="A1" s="20" t="s">
        <v>211</v>
      </c>
    </row>
    <row r="2" ht="22" customHeight="1">
      <c r="A2" s="5" t="s">
        <v>212</v>
      </c>
      <c r="B2" s="21" t="s">
        <v>213</v>
      </c>
    </row>
    <row r="3" ht="22" customHeight="1">
      <c r="A3" s="28" t="s">
        <v>214</v>
      </c>
      <c r="B3" s="29">
        <v>40</v>
      </c>
    </row>
    <row r="4" ht="22" customHeight="1">
      <c r="A4" s="30" t="s">
        <v>215</v>
      </c>
      <c r="B4" s="31">
        <v>9</v>
      </c>
    </row>
    <row r="5" ht="22" customHeight="1">
      <c r="A5" s="28" t="s">
        <v>216</v>
      </c>
      <c r="B5" s="29">
        <v>5</v>
      </c>
    </row>
    <row r="6" ht="22" customHeight="1">
      <c r="A6" s="30" t="s">
        <v>217</v>
      </c>
      <c r="B6" s="31">
        <v>8</v>
      </c>
    </row>
    <row r="7" ht="22" customHeight="1">
      <c r="A7" s="28" t="s">
        <v>218</v>
      </c>
      <c r="B7" s="29">
        <v>4</v>
      </c>
    </row>
    <row r="8" ht="22" customHeight="1">
      <c r="A8" s="30" t="s">
        <v>219</v>
      </c>
      <c r="B8" s="31">
        <v>7</v>
      </c>
    </row>
    <row r="9" ht="22" customHeight="1">
      <c r="A9" s="28" t="s">
        <v>220</v>
      </c>
      <c r="B9" s="29">
        <v>20</v>
      </c>
    </row>
    <row r="10" ht="22" customHeight="1">
      <c r="A10" s="30" t="s">
        <v>221</v>
      </c>
      <c r="B10" s="31" t="s">
        <v>222</v>
      </c>
    </row>
    <row r="11" ht="22" customHeight="1">
      <c r="A11" s="28" t="s">
        <v>223</v>
      </c>
      <c r="B11" s="29" t="s">
        <v>224</v>
      </c>
    </row>
    <row r="12" ht="22" customHeight="1">
      <c r="A12" s="30" t="s">
        <v>225</v>
      </c>
      <c r="B12" s="31">
        <f>ROUND(B3/B4,1)</f>
        <v>4.4000000000000004</v>
      </c>
    </row>
  </sheetData>
  <mergeCells count="1">
    <mergeCell ref="A1:B1"/>
  </mergeCells>
  <printOptions headings="0" gridLines="0"/>
  <pageMargins left="0.75" right="0.75" top="1" bottom="1" header="0.5" footer="0.5"/>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ONLYOFFICE/9.4.0.129</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revision>1</cp:revision>
  <dcterms:created xsi:type="dcterms:W3CDTF">2026-05-31T11:55:23Z</dcterms:created>
  <dcterms:modified xsi:type="dcterms:W3CDTF">2026-06-07T02:06:10Z</dcterms:modified>
</cp:coreProperties>
</file>